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MOVIMENTAÇÕES" sheetId="2" r:id="rId6"/>
    <sheet state="visible" name="ESTOQUE" sheetId="3" r:id="rId7"/>
    <sheet state="visible" name="DASHBOARD " sheetId="4" r:id="rId8"/>
  </sheets>
  <definedNames/>
  <calcPr/>
</workbook>
</file>

<file path=xl/sharedStrings.xml><?xml version="1.0" encoding="utf-8"?>
<sst xmlns="http://schemas.openxmlformats.org/spreadsheetml/2006/main" count="57" uniqueCount="43">
  <si>
    <t>Data</t>
  </si>
  <si>
    <t>Código</t>
  </si>
  <si>
    <t xml:space="preserve">Código </t>
  </si>
  <si>
    <t>Tipo</t>
  </si>
  <si>
    <t>Produto</t>
  </si>
  <si>
    <t>Categoria</t>
  </si>
  <si>
    <t>Custo</t>
  </si>
  <si>
    <t>Código do Produto</t>
  </si>
  <si>
    <t>Quantidade</t>
  </si>
  <si>
    <t>Responsável</t>
  </si>
  <si>
    <t>Observação</t>
  </si>
  <si>
    <t xml:space="preserve">Categoria </t>
  </si>
  <si>
    <t>Estoque Inicial</t>
  </si>
  <si>
    <t>Entradas</t>
  </si>
  <si>
    <t>Saídas</t>
  </si>
  <si>
    <t>15/10/2026</t>
  </si>
  <si>
    <t>Estoque Atual</t>
  </si>
  <si>
    <t>Estoque Mínimo</t>
  </si>
  <si>
    <t>Entrada</t>
  </si>
  <si>
    <t>Preço venda</t>
  </si>
  <si>
    <t>P001</t>
  </si>
  <si>
    <t>Status</t>
  </si>
  <si>
    <t>Estoque mínimo</t>
  </si>
  <si>
    <t>Vitor</t>
  </si>
  <si>
    <t>P002</t>
  </si>
  <si>
    <t>Teclado USB</t>
  </si>
  <si>
    <t>Informática</t>
  </si>
  <si>
    <t>45,00</t>
  </si>
  <si>
    <t>89,90</t>
  </si>
  <si>
    <t>Saída</t>
  </si>
  <si>
    <t>Mouse Óptico</t>
  </si>
  <si>
    <t>20,00</t>
  </si>
  <si>
    <t>49,90</t>
  </si>
  <si>
    <t>P003</t>
  </si>
  <si>
    <t>Caderno A4</t>
  </si>
  <si>
    <t>Papelaria</t>
  </si>
  <si>
    <t>8,00</t>
  </si>
  <si>
    <t>16,90</t>
  </si>
  <si>
    <t>SISTEMA DE GESTÃO DE ESTOQUE</t>
  </si>
  <si>
    <t>Total de Produtos</t>
  </si>
  <si>
    <t>Unidades em Estoque</t>
  </si>
  <si>
    <t>Produtos para Repor</t>
  </si>
  <si>
    <t>Total de Saídas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</si>
</sst>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'!$A$3:$D$3</c:f>
            </c:strRef>
          </c:cat>
          <c:val>
            <c:numRef>
              <c:f>'DASHBOARD '!$A$4:$D$4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1409700</xdr:colOff>
      <xdr:row>4</xdr:row>
      <xdr:rowOff>142875</xdr:rowOff>
    </xdr:from>
    <xdr:ext cx="5172075" cy="3200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7.38"/>
  </cols>
  <sheetData>
    <row r="1">
      <c r="A1" s="1" t="s">
        <v>1</v>
      </c>
      <c r="B1" s="1" t="s">
        <v>4</v>
      </c>
      <c r="C1" s="1" t="s">
        <v>5</v>
      </c>
      <c r="D1" s="3" t="s">
        <v>6</v>
      </c>
      <c r="E1" s="3" t="s">
        <v>19</v>
      </c>
      <c r="F1" s="1" t="s">
        <v>22</v>
      </c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20</v>
      </c>
      <c r="B2" s="4" t="s">
        <v>25</v>
      </c>
      <c r="C2" s="4" t="s">
        <v>26</v>
      </c>
      <c r="D2" s="6" t="s">
        <v>27</v>
      </c>
      <c r="E2" s="6" t="s">
        <v>28</v>
      </c>
      <c r="F2" s="4">
        <v>10.0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24</v>
      </c>
      <c r="B3" s="4" t="s">
        <v>30</v>
      </c>
      <c r="C3" s="4" t="s">
        <v>26</v>
      </c>
      <c r="D3" s="6" t="s">
        <v>31</v>
      </c>
      <c r="E3" s="6" t="s">
        <v>32</v>
      </c>
      <c r="F3" s="4">
        <v>15.0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33</v>
      </c>
      <c r="B4" s="4" t="s">
        <v>34</v>
      </c>
      <c r="C4" s="4" t="s">
        <v>35</v>
      </c>
      <c r="D4" s="6" t="s">
        <v>36</v>
      </c>
      <c r="E4" s="6" t="s">
        <v>37</v>
      </c>
      <c r="F4" s="4">
        <v>20.0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7"/>
      <c r="E5" s="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7"/>
      <c r="E6" s="7"/>
      <c r="F6" s="5"/>
      <c r="G6" s="5" t="str">
        <f t="shared" ref="G6:G62" si="1">IF(A6="","",D6+E6-F6)</f>
        <v/>
      </c>
      <c r="H6" s="5" t="str">
        <f>IF(A6="","",VLOOKUP(A6,PRODUTOS!A:G,7,FALSE))</f>
        <v/>
      </c>
      <c r="I6" s="5" t="str">
        <f t="shared" ref="I6:I21" si="2">IF(A6="","",IF(G6&lt;=H6,"REPOR ESTOQUE","OK"))</f>
        <v/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7"/>
      <c r="E7" s="7"/>
      <c r="F7" s="5"/>
      <c r="G7" s="5" t="str">
        <f t="shared" si="1"/>
        <v/>
      </c>
      <c r="H7" s="5" t="str">
        <f>IF(A7="","",VLOOKUP(A7,PRODUTOS!A:G,7,FALSE))</f>
        <v/>
      </c>
      <c r="I7" s="5" t="str">
        <f t="shared" si="2"/>
        <v/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7"/>
      <c r="E8" s="7"/>
      <c r="F8" s="5"/>
      <c r="G8" s="5" t="str">
        <f t="shared" si="1"/>
        <v/>
      </c>
      <c r="H8" s="5" t="str">
        <f>IF(A8="","",VLOOKUP(A8,PRODUTOS!A:G,7,FALSE))</f>
        <v/>
      </c>
      <c r="I8" s="5" t="str">
        <f t="shared" si="2"/>
        <v/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7"/>
      <c r="E9" s="7"/>
      <c r="F9" s="5"/>
      <c r="G9" s="5" t="str">
        <f t="shared" si="1"/>
        <v/>
      </c>
      <c r="H9" s="5" t="str">
        <f>IF(A9="","",VLOOKUP(A9,PRODUTOS!A:G,7,FALSE))</f>
        <v/>
      </c>
      <c r="I9" s="5" t="str">
        <f t="shared" si="2"/>
        <v/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7"/>
      <c r="E10" s="7"/>
      <c r="F10" s="5"/>
      <c r="G10" s="5" t="str">
        <f t="shared" si="1"/>
        <v/>
      </c>
      <c r="H10" s="5" t="str">
        <f>IF(A10="","",VLOOKUP(A10,PRODUTOS!A:G,7,FALSE))</f>
        <v/>
      </c>
      <c r="I10" s="5" t="str">
        <f t="shared" si="2"/>
        <v/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7"/>
      <c r="E11" s="7"/>
      <c r="F11" s="5"/>
      <c r="G11" s="5" t="str">
        <f t="shared" si="1"/>
        <v/>
      </c>
      <c r="H11" s="5" t="str">
        <f>IF(A11="","",VLOOKUP(A11,PRODUTOS!A:G,7,FALSE))</f>
        <v/>
      </c>
      <c r="I11" s="5" t="str">
        <f t="shared" si="2"/>
        <v/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7"/>
      <c r="E12" s="7"/>
      <c r="F12" s="5"/>
      <c r="G12" s="5" t="str">
        <f t="shared" si="1"/>
        <v/>
      </c>
      <c r="H12" s="5" t="str">
        <f>IF(A12="","",VLOOKUP(A12,PRODUTOS!A:G,7,FALSE))</f>
        <v/>
      </c>
      <c r="I12" s="5" t="str">
        <f t="shared" si="2"/>
        <v/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7"/>
      <c r="E13" s="7"/>
      <c r="F13" s="5"/>
      <c r="G13" s="5" t="str">
        <f t="shared" si="1"/>
        <v/>
      </c>
      <c r="H13" s="5" t="str">
        <f>IF(A13="","",VLOOKUP(A13,PRODUTOS!A:G,7,FALSE))</f>
        <v/>
      </c>
      <c r="I13" s="5" t="str">
        <f t="shared" si="2"/>
        <v/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7"/>
      <c r="E14" s="7"/>
      <c r="F14" s="5"/>
      <c r="G14" s="5" t="str">
        <f t="shared" si="1"/>
        <v/>
      </c>
      <c r="H14" s="5" t="str">
        <f>IF(A14="","",VLOOKUP(A14,PRODUTOS!A:G,7,FALSE))</f>
        <v/>
      </c>
      <c r="I14" s="5" t="str">
        <f t="shared" si="2"/>
        <v/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7"/>
      <c r="E15" s="7"/>
      <c r="F15" s="5"/>
      <c r="G15" s="5" t="str">
        <f t="shared" si="1"/>
        <v/>
      </c>
      <c r="H15" s="5" t="str">
        <f>IF(A15="","",VLOOKUP(A15,PRODUTOS!A:G,7,FALSE))</f>
        <v/>
      </c>
      <c r="I15" s="5" t="str">
        <f t="shared" si="2"/>
        <v/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7"/>
      <c r="E16" s="7"/>
      <c r="F16" s="5"/>
      <c r="G16" s="5" t="str">
        <f t="shared" si="1"/>
        <v/>
      </c>
      <c r="H16" s="5" t="str">
        <f>IF(A16="","",VLOOKUP(A16,PRODUTOS!A:G,7,FALSE))</f>
        <v/>
      </c>
      <c r="I16" s="5" t="str">
        <f t="shared" si="2"/>
        <v/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7"/>
      <c r="E17" s="7"/>
      <c r="F17" s="5"/>
      <c r="G17" s="5" t="str">
        <f t="shared" si="1"/>
        <v/>
      </c>
      <c r="H17" s="5" t="str">
        <f>IF(A17="","",VLOOKUP(A17,PRODUTOS!A:G,7,FALSE))</f>
        <v/>
      </c>
      <c r="I17" s="5" t="str">
        <f t="shared" si="2"/>
        <v/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7"/>
      <c r="E18" s="7"/>
      <c r="F18" s="5"/>
      <c r="G18" s="5" t="str">
        <f t="shared" si="1"/>
        <v/>
      </c>
      <c r="H18" s="5" t="str">
        <f>IF(A18="","",VLOOKUP(A18,PRODUTOS!A:G,7,FALSE))</f>
        <v/>
      </c>
      <c r="I18" s="5" t="str">
        <f t="shared" si="2"/>
        <v/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7"/>
      <c r="E19" s="7"/>
      <c r="F19" s="5"/>
      <c r="G19" s="5" t="str">
        <f t="shared" si="1"/>
        <v/>
      </c>
      <c r="H19" s="5" t="str">
        <f>IF(A19="","",VLOOKUP(A19,PRODUTOS!A:G,7,FALSE))</f>
        <v/>
      </c>
      <c r="I19" s="5" t="str">
        <f t="shared" si="2"/>
        <v/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7"/>
      <c r="E20" s="7"/>
      <c r="F20" s="5"/>
      <c r="G20" s="5" t="str">
        <f t="shared" si="1"/>
        <v/>
      </c>
      <c r="H20" s="5" t="str">
        <f>IF(A20="","",VLOOKUP(A20,PRODUTOS!A:G,7,FALSE))</f>
        <v/>
      </c>
      <c r="I20" s="5" t="str">
        <f t="shared" si="2"/>
        <v/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7"/>
      <c r="E21" s="7"/>
      <c r="F21" s="5"/>
      <c r="G21" s="5" t="str">
        <f t="shared" si="1"/>
        <v/>
      </c>
      <c r="H21" s="5" t="str">
        <f>IF(A21="","",VLOOKUP(A21,PRODUTOS!A:G,7,FALSE))</f>
        <v/>
      </c>
      <c r="I21" s="5" t="str">
        <f t="shared" si="2"/>
        <v/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7"/>
      <c r="E22" s="7"/>
      <c r="F22" s="5"/>
      <c r="G22" s="5" t="str">
        <f t="shared" si="1"/>
        <v/>
      </c>
      <c r="H22" s="5" t="str">
        <f>IF(A22="","",VLOOKUP(A22,PRODUTOS!A:G,7,FALSE))</f>
        <v/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7"/>
      <c r="E23" s="7"/>
      <c r="F23" s="5"/>
      <c r="G23" s="5" t="str">
        <f t="shared" si="1"/>
        <v/>
      </c>
      <c r="H23" s="5" t="str">
        <f>IF(A23="","",VLOOKUP(A23,PRODUTOS!A:G,7,FALSE))</f>
        <v/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7"/>
      <c r="E24" s="7"/>
      <c r="F24" s="5"/>
      <c r="G24" s="5" t="str">
        <f t="shared" si="1"/>
        <v/>
      </c>
      <c r="H24" s="5" t="str">
        <f>IF(A24="","",VLOOKUP(A24,PRODUTOS!A:G,7,FALSE))</f>
        <v/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7"/>
      <c r="E25" s="7"/>
      <c r="F25" s="5"/>
      <c r="G25" s="5" t="str">
        <f t="shared" si="1"/>
        <v/>
      </c>
      <c r="H25" s="5" t="str">
        <f>IF(A25="","",VLOOKUP(A25,PRODUTOS!A:G,7,FALSE))</f>
        <v/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7"/>
      <c r="E26" s="7"/>
      <c r="F26" s="5"/>
      <c r="G26" s="5" t="str">
        <f t="shared" si="1"/>
        <v/>
      </c>
      <c r="H26" s="5" t="str">
        <f>IF(A26="","",VLOOKUP(A26,PRODUTOS!A:G,7,FALSE))</f>
        <v/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7"/>
      <c r="E27" s="7"/>
      <c r="F27" s="5"/>
      <c r="G27" s="5" t="str">
        <f t="shared" si="1"/>
        <v/>
      </c>
      <c r="H27" s="5" t="str">
        <f>IF(A27="","",VLOOKUP(A27,PRODUTOS!A:G,7,FALSE))</f>
        <v/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7"/>
      <c r="E28" s="7"/>
      <c r="F28" s="5"/>
      <c r="G28" s="5" t="str">
        <f t="shared" si="1"/>
        <v/>
      </c>
      <c r="H28" s="5" t="str">
        <f>IF(A28="","",VLOOKUP(A28,PRODUTOS!A:G,7,FALSE))</f>
        <v/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7"/>
      <c r="E29" s="7"/>
      <c r="F29" s="5"/>
      <c r="G29" s="5" t="str">
        <f t="shared" si="1"/>
        <v/>
      </c>
      <c r="H29" s="5" t="str">
        <f>IF(A29="","",VLOOKUP(A29,PRODUTOS!A:G,7,FALSE))</f>
        <v/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7"/>
      <c r="E30" s="7"/>
      <c r="F30" s="5"/>
      <c r="G30" s="5" t="str">
        <f t="shared" si="1"/>
        <v/>
      </c>
      <c r="H30" s="5" t="str">
        <f>IF(A30="","",VLOOKUP(A30,PRODUTOS!A:G,7,FALSE))</f>
        <v/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7"/>
      <c r="E31" s="7"/>
      <c r="F31" s="5"/>
      <c r="G31" s="5" t="str">
        <f t="shared" si="1"/>
        <v/>
      </c>
      <c r="H31" s="5" t="str">
        <f>IF(A31="","",VLOOKUP(A31,PRODUTOS!A:G,7,FALSE))</f>
        <v/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7"/>
      <c r="E32" s="7"/>
      <c r="F32" s="5"/>
      <c r="G32" s="5" t="str">
        <f t="shared" si="1"/>
        <v/>
      </c>
      <c r="H32" s="5" t="str">
        <f>IF(A32="","",VLOOKUP(A32,PRODUTOS!A:G,7,FALSE))</f>
        <v/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7"/>
      <c r="E33" s="7"/>
      <c r="F33" s="5"/>
      <c r="G33" s="5" t="str">
        <f t="shared" si="1"/>
        <v/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7"/>
      <c r="E34" s="7"/>
      <c r="F34" s="5"/>
      <c r="G34" s="5" t="str">
        <f t="shared" si="1"/>
        <v/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7"/>
      <c r="E35" s="7"/>
      <c r="F35" s="5"/>
      <c r="G35" s="5" t="str">
        <f t="shared" si="1"/>
        <v/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7"/>
      <c r="E36" s="7"/>
      <c r="F36" s="5"/>
      <c r="G36" s="5" t="str">
        <f t="shared" si="1"/>
        <v/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7"/>
      <c r="E37" s="7"/>
      <c r="F37" s="5"/>
      <c r="G37" s="5" t="str">
        <f t="shared" si="1"/>
        <v/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7"/>
      <c r="E38" s="7"/>
      <c r="F38" s="5"/>
      <c r="G38" s="5" t="str">
        <f t="shared" si="1"/>
        <v/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7"/>
      <c r="E39" s="7"/>
      <c r="F39" s="5"/>
      <c r="G39" s="5" t="str">
        <f t="shared" si="1"/>
        <v/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7"/>
      <c r="E40" s="7"/>
      <c r="F40" s="5"/>
      <c r="G40" s="5" t="str">
        <f t="shared" si="1"/>
        <v/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7"/>
      <c r="E41" s="7"/>
      <c r="F41" s="5"/>
      <c r="G41" s="5" t="str">
        <f t="shared" si="1"/>
        <v/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7"/>
      <c r="E42" s="7"/>
      <c r="F42" s="5"/>
      <c r="G42" s="5" t="str">
        <f t="shared" si="1"/>
        <v/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7"/>
      <c r="E43" s="7"/>
      <c r="F43" s="5"/>
      <c r="G43" s="5" t="str">
        <f t="shared" si="1"/>
        <v/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7"/>
      <c r="E44" s="7"/>
      <c r="F44" s="5"/>
      <c r="G44" s="5" t="str">
        <f t="shared" si="1"/>
        <v/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7"/>
      <c r="E45" s="7"/>
      <c r="F45" s="5"/>
      <c r="G45" s="5" t="str">
        <f t="shared" si="1"/>
        <v/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7"/>
      <c r="E46" s="7"/>
      <c r="F46" s="5"/>
      <c r="G46" s="5" t="str">
        <f t="shared" si="1"/>
        <v/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7"/>
      <c r="E47" s="7"/>
      <c r="F47" s="5"/>
      <c r="G47" s="5" t="str">
        <f t="shared" si="1"/>
        <v/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7"/>
      <c r="E48" s="7"/>
      <c r="F48" s="5"/>
      <c r="G48" s="5" t="str">
        <f t="shared" si="1"/>
        <v/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7"/>
      <c r="E49" s="7"/>
      <c r="F49" s="5"/>
      <c r="G49" s="5" t="str">
        <f t="shared" si="1"/>
        <v/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7"/>
      <c r="E50" s="7"/>
      <c r="F50" s="5"/>
      <c r="G50" s="5" t="str">
        <f t="shared" si="1"/>
        <v/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7"/>
      <c r="E51" s="7"/>
      <c r="F51" s="5"/>
      <c r="G51" s="5" t="str">
        <f t="shared" si="1"/>
        <v/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7"/>
      <c r="E52" s="7"/>
      <c r="F52" s="5"/>
      <c r="G52" s="5" t="str">
        <f t="shared" si="1"/>
        <v/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7"/>
      <c r="E53" s="7"/>
      <c r="F53" s="5"/>
      <c r="G53" s="5" t="str">
        <f t="shared" si="1"/>
        <v/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7"/>
      <c r="E54" s="7"/>
      <c r="F54" s="5"/>
      <c r="G54" s="5" t="str">
        <f t="shared" si="1"/>
        <v/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7"/>
      <c r="E55" s="7"/>
      <c r="F55" s="5"/>
      <c r="G55" s="5" t="str">
        <f t="shared" si="1"/>
        <v/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7"/>
      <c r="E56" s="7"/>
      <c r="F56" s="5"/>
      <c r="G56" s="5" t="str">
        <f t="shared" si="1"/>
        <v/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7"/>
      <c r="E57" s="7"/>
      <c r="F57" s="5"/>
      <c r="G57" s="5" t="str">
        <f t="shared" si="1"/>
        <v/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7"/>
      <c r="E58" s="7"/>
      <c r="F58" s="5"/>
      <c r="G58" s="5" t="str">
        <f t="shared" si="1"/>
        <v/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7"/>
      <c r="E59" s="7"/>
      <c r="F59" s="5"/>
      <c r="G59" s="5" t="str">
        <f t="shared" si="1"/>
        <v/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7"/>
      <c r="E60" s="7"/>
      <c r="F60" s="5"/>
      <c r="G60" s="5" t="str">
        <f t="shared" si="1"/>
        <v/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7"/>
      <c r="E61" s="7"/>
      <c r="F61" s="5"/>
      <c r="G61" s="5" t="str">
        <f t="shared" si="1"/>
        <v/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7"/>
      <c r="E62" s="7"/>
      <c r="F62" s="5"/>
      <c r="G62" s="5" t="str">
        <f t="shared" si="1"/>
        <v/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7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7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7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7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7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7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7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7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7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7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7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7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7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7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7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7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7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7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7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7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7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7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7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7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7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7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7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7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7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7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7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7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7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7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7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7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7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7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7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7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7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7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7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7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7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7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7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7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7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7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7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7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7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7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7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7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7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7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7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7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7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7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7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7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7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7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7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7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7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7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7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7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7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7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7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7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7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7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7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7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7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7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7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7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7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7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7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7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7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7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7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7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7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7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7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7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7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7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7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7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7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7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7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7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7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7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7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7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7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7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7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7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7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7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7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7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7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7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7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7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7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7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7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7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7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7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7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7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7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7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7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7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7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7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7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7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7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7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7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7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7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7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7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7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7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7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7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7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7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7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7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7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7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7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7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7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7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7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7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7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7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7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7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7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7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7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7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7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7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7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7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7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7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7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7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7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7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7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7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7"/>
      <c r="E243" s="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7"/>
      <c r="E244" s="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7"/>
      <c r="E245" s="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7"/>
      <c r="E246" s="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7"/>
      <c r="E247" s="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7"/>
      <c r="E248" s="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7"/>
      <c r="E249" s="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7"/>
      <c r="E250" s="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7"/>
      <c r="E251" s="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7"/>
      <c r="E252" s="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7"/>
      <c r="E253" s="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7"/>
      <c r="E254" s="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7"/>
      <c r="E255" s="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7"/>
      <c r="E256" s="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7"/>
      <c r="E257" s="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7"/>
      <c r="E258" s="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7"/>
      <c r="E259" s="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7"/>
      <c r="E260" s="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7"/>
      <c r="E261" s="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7"/>
      <c r="E262" s="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7"/>
      <c r="E263" s="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7"/>
      <c r="E264" s="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7"/>
      <c r="E265" s="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7"/>
      <c r="E266" s="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7"/>
      <c r="E267" s="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7"/>
      <c r="E268" s="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7"/>
      <c r="E269" s="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7"/>
      <c r="E270" s="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7"/>
      <c r="E271" s="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7"/>
      <c r="E272" s="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7"/>
      <c r="E273" s="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7"/>
      <c r="E274" s="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7"/>
      <c r="E275" s="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7"/>
      <c r="E276" s="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7"/>
      <c r="E277" s="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7"/>
      <c r="E278" s="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7"/>
      <c r="E279" s="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7"/>
      <c r="E280" s="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7"/>
      <c r="E281" s="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7"/>
      <c r="E282" s="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7"/>
      <c r="E283" s="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7"/>
      <c r="E284" s="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7"/>
      <c r="E285" s="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7"/>
      <c r="E286" s="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7"/>
      <c r="E287" s="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7"/>
      <c r="E288" s="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7"/>
      <c r="E289" s="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7"/>
      <c r="E290" s="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7"/>
      <c r="E291" s="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7"/>
      <c r="E292" s="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7"/>
      <c r="E293" s="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7"/>
      <c r="E294" s="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7"/>
      <c r="E295" s="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7"/>
      <c r="E296" s="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7"/>
      <c r="E297" s="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7"/>
      <c r="E298" s="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7"/>
      <c r="E299" s="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7"/>
      <c r="E300" s="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7"/>
      <c r="E301" s="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7"/>
      <c r="E302" s="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7"/>
      <c r="E303" s="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7"/>
      <c r="E304" s="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7"/>
      <c r="E305" s="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7"/>
      <c r="E306" s="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7"/>
      <c r="E307" s="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7"/>
      <c r="E308" s="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7"/>
      <c r="E309" s="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7"/>
      <c r="E310" s="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7"/>
      <c r="E311" s="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7"/>
      <c r="E312" s="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7"/>
      <c r="E313" s="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7"/>
      <c r="E314" s="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7"/>
      <c r="E315" s="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7"/>
      <c r="E316" s="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7"/>
      <c r="E317" s="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7"/>
      <c r="E318" s="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7"/>
      <c r="E319" s="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7"/>
      <c r="E320" s="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7"/>
      <c r="E321" s="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7"/>
      <c r="E322" s="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7"/>
      <c r="E323" s="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7"/>
      <c r="E324" s="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7"/>
      <c r="E325" s="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7"/>
      <c r="E326" s="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7"/>
      <c r="E327" s="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7"/>
      <c r="E328" s="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7"/>
      <c r="E329" s="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7"/>
      <c r="E330" s="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7"/>
      <c r="E331" s="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7"/>
      <c r="E332" s="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7"/>
      <c r="E333" s="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7"/>
      <c r="E334" s="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7"/>
      <c r="E335" s="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7"/>
      <c r="E336" s="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7"/>
      <c r="E337" s="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7"/>
      <c r="E338" s="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7"/>
      <c r="E339" s="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7"/>
      <c r="E340" s="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7"/>
      <c r="E341" s="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7"/>
      <c r="E342" s="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7"/>
      <c r="E343" s="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7"/>
      <c r="E344" s="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7"/>
      <c r="E345" s="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7"/>
      <c r="E346" s="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7"/>
      <c r="E347" s="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7"/>
      <c r="E348" s="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7"/>
      <c r="E349" s="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7"/>
      <c r="E350" s="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7"/>
      <c r="E351" s="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7"/>
      <c r="E352" s="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7"/>
      <c r="E353" s="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7"/>
      <c r="E354" s="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7"/>
      <c r="E355" s="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7"/>
      <c r="E356" s="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7"/>
      <c r="E357" s="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7"/>
      <c r="E358" s="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7"/>
      <c r="E359" s="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7"/>
      <c r="E360" s="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7"/>
      <c r="E361" s="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7"/>
      <c r="E362" s="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7"/>
      <c r="E363" s="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7"/>
      <c r="E364" s="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7"/>
      <c r="E365" s="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7"/>
      <c r="E366" s="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7"/>
      <c r="E367" s="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7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7"/>
      <c r="E369" s="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7"/>
      <c r="E370" s="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7"/>
      <c r="E371" s="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7"/>
      <c r="E372" s="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7"/>
      <c r="E373" s="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7"/>
      <c r="E374" s="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7"/>
      <c r="E375" s="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7"/>
      <c r="E376" s="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7"/>
      <c r="E377" s="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7"/>
      <c r="E378" s="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7"/>
      <c r="E379" s="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7"/>
      <c r="E380" s="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7"/>
      <c r="E381" s="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7"/>
      <c r="E382" s="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7"/>
      <c r="E383" s="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7"/>
      <c r="E384" s="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7"/>
      <c r="E385" s="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7"/>
      <c r="E386" s="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7"/>
      <c r="E387" s="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7"/>
      <c r="E388" s="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7"/>
      <c r="E389" s="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7"/>
      <c r="E390" s="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7"/>
      <c r="E391" s="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7"/>
      <c r="E392" s="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7"/>
      <c r="E393" s="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7"/>
      <c r="E394" s="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7"/>
      <c r="E395" s="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7"/>
      <c r="E396" s="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7"/>
      <c r="E397" s="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7"/>
      <c r="E398" s="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7"/>
      <c r="E399" s="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7"/>
      <c r="E400" s="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7"/>
      <c r="E401" s="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7"/>
      <c r="E402" s="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7"/>
      <c r="E403" s="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7"/>
      <c r="E404" s="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7"/>
      <c r="E405" s="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7"/>
      <c r="E406" s="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7"/>
      <c r="E407" s="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7"/>
      <c r="E408" s="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7"/>
      <c r="E409" s="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7"/>
      <c r="E410" s="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7"/>
      <c r="E411" s="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7"/>
      <c r="E412" s="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7"/>
      <c r="E413" s="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7"/>
      <c r="E414" s="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7"/>
      <c r="E415" s="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7"/>
      <c r="E416" s="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7"/>
      <c r="E417" s="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7"/>
      <c r="E418" s="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7"/>
      <c r="E419" s="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7"/>
      <c r="E420" s="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7"/>
      <c r="E421" s="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7"/>
      <c r="E422" s="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7"/>
      <c r="E423" s="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7"/>
      <c r="E424" s="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7"/>
      <c r="E425" s="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7"/>
      <c r="E426" s="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7"/>
      <c r="E427" s="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7"/>
      <c r="E428" s="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7"/>
      <c r="E429" s="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7"/>
      <c r="E430" s="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7"/>
      <c r="E431" s="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7"/>
      <c r="E432" s="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7"/>
      <c r="E433" s="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7"/>
      <c r="E434" s="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7"/>
      <c r="E435" s="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7"/>
      <c r="E436" s="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7"/>
      <c r="E437" s="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7"/>
      <c r="E438" s="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7"/>
      <c r="E439" s="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7"/>
      <c r="E440" s="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7"/>
      <c r="E441" s="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7"/>
      <c r="E442" s="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7"/>
      <c r="E443" s="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7"/>
      <c r="E444" s="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7"/>
      <c r="E445" s="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7"/>
      <c r="E446" s="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7"/>
      <c r="E447" s="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7"/>
      <c r="E448" s="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7"/>
      <c r="E449" s="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7"/>
      <c r="E450" s="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7"/>
      <c r="E451" s="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7"/>
      <c r="E452" s="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7"/>
      <c r="E453" s="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7"/>
      <c r="E454" s="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7"/>
      <c r="E455" s="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7"/>
      <c r="E456" s="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7"/>
      <c r="E457" s="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7"/>
      <c r="E458" s="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7"/>
      <c r="E459" s="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7"/>
      <c r="E460" s="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7"/>
      <c r="E461" s="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7"/>
      <c r="E462" s="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7"/>
      <c r="E463" s="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7"/>
      <c r="E464" s="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7"/>
      <c r="E465" s="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7"/>
      <c r="E466" s="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7"/>
      <c r="E467" s="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7"/>
      <c r="E468" s="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7"/>
      <c r="E469" s="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7"/>
      <c r="E470" s="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7"/>
      <c r="E471" s="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7"/>
      <c r="E472" s="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7"/>
      <c r="E473" s="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7"/>
      <c r="E474" s="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7"/>
      <c r="E475" s="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7"/>
      <c r="E476" s="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7"/>
      <c r="E477" s="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7"/>
      <c r="E478" s="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7"/>
      <c r="E479" s="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7"/>
      <c r="E480" s="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7"/>
      <c r="E481" s="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7"/>
      <c r="E482" s="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7"/>
      <c r="E483" s="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7"/>
      <c r="E484" s="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7"/>
      <c r="E485" s="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7"/>
      <c r="E486" s="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7"/>
      <c r="E487" s="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7"/>
      <c r="E488" s="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7"/>
      <c r="E489" s="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7"/>
      <c r="E490" s="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7"/>
      <c r="E491" s="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7"/>
      <c r="E492" s="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7"/>
      <c r="E493" s="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7"/>
      <c r="E494" s="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7"/>
      <c r="E495" s="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7"/>
      <c r="E496" s="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7"/>
      <c r="E497" s="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7"/>
      <c r="E498" s="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7"/>
      <c r="E499" s="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7"/>
      <c r="E500" s="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7"/>
      <c r="E501" s="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7"/>
      <c r="E502" s="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7"/>
      <c r="E503" s="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7"/>
      <c r="E504" s="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7"/>
      <c r="E505" s="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7"/>
      <c r="E506" s="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7"/>
      <c r="E507" s="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7"/>
      <c r="E508" s="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7"/>
      <c r="E509" s="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7"/>
      <c r="E510" s="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7"/>
      <c r="E511" s="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7"/>
      <c r="E512" s="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7"/>
      <c r="E513" s="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7"/>
      <c r="E514" s="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7"/>
      <c r="E515" s="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7"/>
      <c r="E516" s="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7"/>
      <c r="E517" s="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7"/>
      <c r="E518" s="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7"/>
      <c r="E519" s="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7"/>
      <c r="E520" s="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7"/>
      <c r="E521" s="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7"/>
      <c r="E522" s="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7"/>
      <c r="E523" s="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7"/>
      <c r="E524" s="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7"/>
      <c r="E525" s="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7"/>
      <c r="E526" s="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7"/>
      <c r="E527" s="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7"/>
      <c r="E528" s="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7"/>
      <c r="E529" s="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7"/>
      <c r="E530" s="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7"/>
      <c r="E531" s="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7"/>
      <c r="E532" s="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7"/>
      <c r="E533" s="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7"/>
      <c r="E534" s="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7"/>
      <c r="E535" s="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7"/>
      <c r="E536" s="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7"/>
      <c r="E537" s="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7"/>
      <c r="E538" s="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7"/>
      <c r="E539" s="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7"/>
      <c r="E540" s="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7"/>
      <c r="E541" s="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7"/>
      <c r="E542" s="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7"/>
      <c r="E543" s="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7"/>
      <c r="E544" s="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7"/>
      <c r="E545" s="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7"/>
      <c r="E546" s="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7"/>
      <c r="E547" s="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7"/>
      <c r="E548" s="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7"/>
      <c r="E549" s="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7"/>
      <c r="E550" s="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7"/>
      <c r="E551" s="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7"/>
      <c r="E552" s="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7"/>
      <c r="E553" s="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7"/>
      <c r="E554" s="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7"/>
      <c r="E555" s="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7"/>
      <c r="E556" s="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7"/>
      <c r="E557" s="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7"/>
      <c r="E558" s="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7"/>
      <c r="E559" s="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7"/>
      <c r="E560" s="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7"/>
      <c r="E561" s="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7"/>
      <c r="E562" s="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7"/>
      <c r="E563" s="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7"/>
      <c r="E564" s="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7"/>
      <c r="E565" s="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7"/>
      <c r="E566" s="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7"/>
      <c r="E567" s="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7"/>
      <c r="E568" s="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7"/>
      <c r="E569" s="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7"/>
      <c r="E570" s="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7"/>
      <c r="E571" s="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7"/>
      <c r="E572" s="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7"/>
      <c r="E573" s="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7"/>
      <c r="E574" s="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7"/>
      <c r="E575" s="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7"/>
      <c r="E576" s="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7"/>
      <c r="E577" s="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7"/>
      <c r="E578" s="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7"/>
      <c r="E579" s="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7"/>
      <c r="E580" s="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7"/>
      <c r="E581" s="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7"/>
      <c r="E582" s="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7"/>
      <c r="E583" s="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7"/>
      <c r="E584" s="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7"/>
      <c r="E585" s="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7"/>
      <c r="E586" s="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7"/>
      <c r="E587" s="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7"/>
      <c r="E588" s="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7"/>
      <c r="E589" s="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7"/>
      <c r="E590" s="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7"/>
      <c r="E591" s="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7"/>
      <c r="E592" s="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7"/>
      <c r="E593" s="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7"/>
      <c r="E594" s="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7"/>
      <c r="E595" s="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7"/>
      <c r="E596" s="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7"/>
      <c r="E597" s="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7"/>
      <c r="E598" s="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7"/>
      <c r="E599" s="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7"/>
      <c r="E600" s="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7"/>
      <c r="E601" s="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7"/>
      <c r="E602" s="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7"/>
      <c r="E603" s="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7"/>
      <c r="E604" s="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7"/>
      <c r="E605" s="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7"/>
      <c r="E606" s="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7"/>
      <c r="E607" s="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7"/>
      <c r="E608" s="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7"/>
      <c r="E609" s="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7"/>
      <c r="E610" s="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7"/>
      <c r="E611" s="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7"/>
      <c r="E612" s="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7"/>
      <c r="E613" s="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7"/>
      <c r="E614" s="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7"/>
      <c r="E615" s="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7"/>
      <c r="E616" s="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7"/>
      <c r="E617" s="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7"/>
      <c r="E618" s="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7"/>
      <c r="E619" s="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7"/>
      <c r="E620" s="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7"/>
      <c r="E621" s="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7"/>
      <c r="E622" s="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7"/>
      <c r="E623" s="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7"/>
      <c r="E624" s="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7"/>
      <c r="E625" s="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7"/>
      <c r="E626" s="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7"/>
      <c r="E627" s="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7"/>
      <c r="E628" s="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7"/>
      <c r="E629" s="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7"/>
      <c r="E630" s="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7"/>
      <c r="E631" s="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7"/>
      <c r="E632" s="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7"/>
      <c r="E633" s="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7"/>
      <c r="E634" s="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7"/>
      <c r="E635" s="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7"/>
      <c r="E636" s="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7"/>
      <c r="E637" s="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7"/>
      <c r="E638" s="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7"/>
      <c r="E639" s="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7"/>
      <c r="E640" s="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7"/>
      <c r="E641" s="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7"/>
      <c r="E642" s="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7"/>
      <c r="E643" s="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7"/>
      <c r="E644" s="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7"/>
      <c r="E645" s="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7"/>
      <c r="E646" s="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7"/>
      <c r="E647" s="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7"/>
      <c r="E648" s="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7"/>
      <c r="E649" s="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7"/>
      <c r="E650" s="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7"/>
      <c r="E651" s="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7"/>
      <c r="E652" s="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7"/>
      <c r="E653" s="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7"/>
      <c r="E654" s="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7"/>
      <c r="E655" s="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7"/>
      <c r="E656" s="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7"/>
      <c r="E657" s="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7"/>
      <c r="E658" s="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7"/>
      <c r="E659" s="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7"/>
      <c r="E660" s="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7"/>
      <c r="E661" s="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7"/>
      <c r="E662" s="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7"/>
      <c r="E663" s="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7"/>
      <c r="E664" s="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7"/>
      <c r="E665" s="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7"/>
      <c r="E666" s="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7"/>
      <c r="E667" s="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7"/>
      <c r="E668" s="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7"/>
      <c r="E669" s="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7"/>
      <c r="E670" s="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7"/>
      <c r="E671" s="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7"/>
      <c r="E672" s="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7"/>
      <c r="E673" s="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7"/>
      <c r="E674" s="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7"/>
      <c r="E675" s="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7"/>
      <c r="E676" s="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7"/>
      <c r="E677" s="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7"/>
      <c r="E678" s="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7"/>
      <c r="E679" s="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7"/>
      <c r="E680" s="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7"/>
      <c r="E681" s="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7"/>
      <c r="E682" s="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7"/>
      <c r="E683" s="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7"/>
      <c r="E684" s="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7"/>
      <c r="E685" s="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7"/>
      <c r="E686" s="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7"/>
      <c r="E687" s="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7"/>
      <c r="E688" s="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7"/>
      <c r="E689" s="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7"/>
      <c r="E690" s="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7"/>
      <c r="E691" s="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7"/>
      <c r="E692" s="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7"/>
      <c r="E693" s="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7"/>
      <c r="E694" s="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7"/>
      <c r="E695" s="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7"/>
      <c r="E696" s="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7"/>
      <c r="E697" s="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7"/>
      <c r="E698" s="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7"/>
      <c r="E699" s="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7"/>
      <c r="E700" s="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7"/>
      <c r="E701" s="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7"/>
      <c r="E702" s="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7"/>
      <c r="E703" s="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7"/>
      <c r="E704" s="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7"/>
      <c r="E705" s="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7"/>
      <c r="E706" s="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7"/>
      <c r="E707" s="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7"/>
      <c r="E708" s="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7"/>
      <c r="E709" s="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7"/>
      <c r="E710" s="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7"/>
      <c r="E711" s="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7"/>
      <c r="E712" s="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7"/>
      <c r="E713" s="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7"/>
      <c r="E714" s="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7"/>
      <c r="E715" s="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7"/>
      <c r="E716" s="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7"/>
      <c r="E717" s="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7"/>
      <c r="E718" s="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7"/>
      <c r="E719" s="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7"/>
      <c r="E720" s="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7"/>
      <c r="E721" s="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7"/>
      <c r="E722" s="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7"/>
      <c r="E723" s="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7"/>
      <c r="E724" s="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7"/>
      <c r="E725" s="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7"/>
      <c r="E726" s="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7"/>
      <c r="E727" s="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7"/>
      <c r="E728" s="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7"/>
      <c r="E729" s="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7"/>
      <c r="E730" s="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7"/>
      <c r="E731" s="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7"/>
      <c r="E732" s="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7"/>
      <c r="E733" s="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7"/>
      <c r="E734" s="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7"/>
      <c r="E735" s="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7"/>
      <c r="E736" s="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7"/>
      <c r="E737" s="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7"/>
      <c r="E738" s="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7"/>
      <c r="E739" s="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7"/>
      <c r="E740" s="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7"/>
      <c r="E741" s="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7"/>
      <c r="E742" s="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7"/>
      <c r="E743" s="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7"/>
      <c r="E744" s="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7"/>
      <c r="E745" s="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7"/>
      <c r="E746" s="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7"/>
      <c r="E747" s="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7"/>
      <c r="E748" s="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7"/>
      <c r="E749" s="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7"/>
      <c r="E750" s="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7"/>
      <c r="E751" s="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7"/>
      <c r="E752" s="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7"/>
      <c r="E753" s="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7"/>
      <c r="E754" s="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7"/>
      <c r="E755" s="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7"/>
      <c r="E756" s="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7"/>
      <c r="E757" s="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7"/>
      <c r="E758" s="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7"/>
      <c r="E759" s="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7"/>
      <c r="E760" s="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7"/>
      <c r="E761" s="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7"/>
      <c r="E762" s="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7"/>
      <c r="E763" s="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7"/>
      <c r="E764" s="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7"/>
      <c r="E765" s="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7"/>
      <c r="E766" s="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7"/>
      <c r="E767" s="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7"/>
      <c r="E768" s="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7"/>
      <c r="E769" s="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7"/>
      <c r="E770" s="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7"/>
      <c r="E771" s="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7"/>
      <c r="E772" s="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7"/>
      <c r="E773" s="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7"/>
      <c r="E774" s="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7"/>
      <c r="E775" s="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7"/>
      <c r="E776" s="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7"/>
      <c r="E777" s="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7"/>
      <c r="E778" s="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7"/>
      <c r="E779" s="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7"/>
      <c r="E780" s="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7"/>
      <c r="E781" s="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7"/>
      <c r="E782" s="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7"/>
      <c r="E783" s="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7"/>
      <c r="E784" s="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7"/>
      <c r="E785" s="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7"/>
      <c r="E786" s="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7"/>
      <c r="E787" s="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7"/>
      <c r="E788" s="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7"/>
      <c r="E789" s="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7"/>
      <c r="E790" s="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7"/>
      <c r="E791" s="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7"/>
      <c r="E792" s="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7"/>
      <c r="E793" s="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7"/>
      <c r="E794" s="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7"/>
      <c r="E795" s="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7"/>
      <c r="E796" s="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7"/>
      <c r="E797" s="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7"/>
      <c r="E798" s="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7"/>
      <c r="E799" s="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7"/>
      <c r="E800" s="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7"/>
      <c r="E801" s="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7"/>
      <c r="E802" s="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7"/>
      <c r="E803" s="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7"/>
      <c r="E804" s="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7"/>
      <c r="E805" s="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7"/>
      <c r="E806" s="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7"/>
      <c r="E807" s="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7"/>
      <c r="E808" s="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7"/>
      <c r="E809" s="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7"/>
      <c r="E810" s="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7"/>
      <c r="E811" s="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7"/>
      <c r="E812" s="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7"/>
      <c r="E813" s="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7"/>
      <c r="E814" s="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7"/>
      <c r="E815" s="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7"/>
      <c r="E816" s="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7"/>
      <c r="E817" s="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7"/>
      <c r="E818" s="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7"/>
      <c r="E819" s="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7"/>
      <c r="E820" s="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7"/>
      <c r="E821" s="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7"/>
      <c r="E822" s="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7"/>
      <c r="E823" s="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7"/>
      <c r="E824" s="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7"/>
      <c r="E825" s="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7"/>
      <c r="E826" s="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7"/>
      <c r="E827" s="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7"/>
      <c r="E828" s="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7"/>
      <c r="E829" s="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7"/>
      <c r="E830" s="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7"/>
      <c r="E831" s="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7"/>
      <c r="E832" s="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7"/>
      <c r="E833" s="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7"/>
      <c r="E834" s="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7"/>
      <c r="E835" s="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7"/>
      <c r="E836" s="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7"/>
      <c r="E837" s="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7"/>
      <c r="E838" s="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7"/>
      <c r="E839" s="7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7"/>
      <c r="E840" s="7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7"/>
      <c r="E841" s="7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7"/>
      <c r="E842" s="7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7"/>
      <c r="E843" s="7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7"/>
      <c r="E844" s="7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7"/>
      <c r="E845" s="7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7"/>
      <c r="E846" s="7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7"/>
      <c r="E847" s="7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7"/>
      <c r="E848" s="7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7"/>
      <c r="E849" s="7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7"/>
      <c r="E850" s="7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7"/>
      <c r="E851" s="7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7"/>
      <c r="E852" s="7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7"/>
      <c r="E853" s="7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7"/>
      <c r="E854" s="7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7"/>
      <c r="E855" s="7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7"/>
      <c r="E856" s="7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7"/>
      <c r="E857" s="7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7"/>
      <c r="E858" s="7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7"/>
      <c r="E859" s="7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7"/>
      <c r="E860" s="7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7"/>
      <c r="E861" s="7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7"/>
      <c r="E862" s="7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7"/>
      <c r="E863" s="7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7"/>
      <c r="E864" s="7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7"/>
      <c r="E865" s="7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7"/>
      <c r="E866" s="7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7"/>
      <c r="E867" s="7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7"/>
      <c r="E868" s="7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7"/>
      <c r="E869" s="7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7"/>
      <c r="E870" s="7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7"/>
      <c r="E871" s="7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7"/>
      <c r="E872" s="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7"/>
      <c r="E873" s="7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7"/>
      <c r="E874" s="7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7"/>
      <c r="E875" s="7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7"/>
      <c r="E876" s="7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7"/>
      <c r="E877" s="7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7"/>
      <c r="E878" s="7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7"/>
      <c r="E879" s="7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7"/>
      <c r="E880" s="7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7"/>
      <c r="E881" s="7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7"/>
      <c r="E882" s="7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7"/>
      <c r="E883" s="7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7"/>
      <c r="E884" s="7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7"/>
      <c r="E885" s="7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7"/>
      <c r="E886" s="7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7"/>
      <c r="E887" s="7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7"/>
      <c r="E888" s="7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7"/>
      <c r="E889" s="7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7"/>
      <c r="E890" s="7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7"/>
      <c r="E891" s="7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7"/>
      <c r="E892" s="7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7"/>
      <c r="E893" s="7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7"/>
      <c r="E894" s="7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7"/>
      <c r="E895" s="7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7"/>
      <c r="E896" s="7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7"/>
      <c r="E897" s="7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7"/>
      <c r="E898" s="7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7"/>
      <c r="E899" s="7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7"/>
      <c r="E900" s="7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7"/>
      <c r="E901" s="7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7"/>
      <c r="E902" s="7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7"/>
      <c r="E903" s="7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7"/>
      <c r="E904" s="7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7"/>
      <c r="E905" s="7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7"/>
      <c r="E906" s="7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7"/>
      <c r="E907" s="7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7"/>
      <c r="E908" s="7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7"/>
      <c r="E909" s="7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7"/>
      <c r="E910" s="7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7"/>
      <c r="E911" s="7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7"/>
      <c r="E912" s="7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7"/>
      <c r="E913" s="7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7"/>
      <c r="E914" s="7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7"/>
      <c r="E915" s="7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7"/>
      <c r="E916" s="7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7"/>
      <c r="E917" s="7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7"/>
      <c r="E918" s="7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7"/>
      <c r="E919" s="7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7"/>
      <c r="E920" s="7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7"/>
      <c r="E921" s="7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7"/>
      <c r="E922" s="7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7"/>
      <c r="E923" s="7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7"/>
      <c r="E924" s="7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7"/>
      <c r="E925" s="7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7"/>
      <c r="E926" s="7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7"/>
      <c r="E927" s="7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7"/>
      <c r="E928" s="7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7"/>
      <c r="E929" s="7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7"/>
      <c r="E930" s="7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7"/>
      <c r="E931" s="7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7"/>
      <c r="E932" s="7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7"/>
      <c r="E933" s="7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7"/>
      <c r="E934" s="7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7"/>
      <c r="E935" s="7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7"/>
      <c r="E936" s="7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7"/>
      <c r="E937" s="7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7"/>
      <c r="E938" s="7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7"/>
      <c r="E939" s="7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7"/>
      <c r="E940" s="7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7"/>
      <c r="E941" s="7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7"/>
      <c r="E942" s="7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7"/>
      <c r="E943" s="7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7"/>
      <c r="E944" s="7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7"/>
      <c r="E945" s="7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7"/>
      <c r="E946" s="7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7"/>
      <c r="E947" s="7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7"/>
      <c r="E948" s="7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7"/>
      <c r="E949" s="7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7"/>
      <c r="E950" s="7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7"/>
      <c r="E951" s="7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7"/>
      <c r="E952" s="7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7"/>
      <c r="E953" s="7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7"/>
      <c r="E954" s="7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7"/>
      <c r="E955" s="7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7"/>
      <c r="E956" s="7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7"/>
      <c r="E957" s="7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7"/>
      <c r="E958" s="7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7"/>
      <c r="E959" s="7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7"/>
      <c r="E960" s="7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7"/>
      <c r="E961" s="7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7"/>
      <c r="E962" s="7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7"/>
      <c r="E963" s="7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7"/>
      <c r="E964" s="7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7"/>
      <c r="E965" s="7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7"/>
      <c r="E966" s="7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7"/>
      <c r="E967" s="7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7"/>
      <c r="E968" s="7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7"/>
      <c r="E969" s="7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7"/>
      <c r="E970" s="7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7"/>
      <c r="E971" s="7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7"/>
      <c r="E972" s="7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7"/>
      <c r="E973" s="7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7"/>
      <c r="E974" s="7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7"/>
      <c r="E975" s="7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7"/>
      <c r="E976" s="7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7"/>
      <c r="E977" s="7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7"/>
      <c r="E978" s="7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7"/>
      <c r="E979" s="7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7"/>
      <c r="E980" s="7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7"/>
      <c r="E981" s="7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7"/>
      <c r="E982" s="7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7"/>
      <c r="E983" s="7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7"/>
      <c r="E984" s="7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7"/>
      <c r="E985" s="7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7"/>
      <c r="E986" s="7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7"/>
      <c r="E987" s="7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7"/>
      <c r="E988" s="7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7"/>
      <c r="E989" s="7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7"/>
      <c r="E990" s="7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7"/>
      <c r="E991" s="7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7"/>
      <c r="E992" s="7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7"/>
      <c r="E993" s="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7"/>
      <c r="E994" s="7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7"/>
      <c r="E995" s="7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15.88"/>
  </cols>
  <sheetData>
    <row r="1">
      <c r="A1" s="1" t="s">
        <v>0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15</v>
      </c>
      <c r="B2" s="4" t="s">
        <v>18</v>
      </c>
      <c r="C2" s="4" t="s">
        <v>20</v>
      </c>
      <c r="D2" s="4">
        <v>30.0</v>
      </c>
      <c r="E2" s="4" t="s">
        <v>23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15</v>
      </c>
      <c r="B3" s="4" t="s">
        <v>18</v>
      </c>
      <c r="C3" s="4" t="s">
        <v>24</v>
      </c>
      <c r="D3" s="4">
        <v>40.0</v>
      </c>
      <c r="E3" s="4" t="s">
        <v>23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15</v>
      </c>
      <c r="B4" s="4" t="s">
        <v>29</v>
      </c>
      <c r="C4" s="4" t="s">
        <v>20</v>
      </c>
      <c r="D4" s="4">
        <v>5.0</v>
      </c>
      <c r="E4" s="4" t="s">
        <v>23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15</v>
      </c>
      <c r="B5" s="4" t="s">
        <v>18</v>
      </c>
      <c r="C5" s="4" t="s">
        <v>33</v>
      </c>
      <c r="D5" s="4">
        <v>50.0</v>
      </c>
      <c r="E5" s="4" t="s">
        <v>23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20.88"/>
    <col customWidth="1" min="8" max="8" width="15.0"/>
    <col customWidth="1" min="9" max="9" width="20.13"/>
  </cols>
  <sheetData>
    <row r="1">
      <c r="A1" s="1" t="s">
        <v>2</v>
      </c>
      <c r="B1" s="1" t="s">
        <v>4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21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 t="str">
        <f>PRODUTOS!A2</f>
        <v>P001</v>
      </c>
      <c r="B2" s="5" t="str">
        <f>IF(A2="","",IFERROR(VLOOKUP(A2,PRODUTOS!A:B,2,FALSE),""))</f>
        <v>Teclado USB</v>
      </c>
      <c r="C2" s="5" t="str">
        <f>IF(A2="","",IFERROR(VLOOKUP(A2,PRODUTOS!A:C,3,FALSE),""))</f>
        <v>Informática</v>
      </c>
      <c r="D2" s="4">
        <v>1.0</v>
      </c>
      <c r="E2" s="5">
        <f>IF(A2="","",IFERROR(SUMIFS('MOVIMENTAÇÕES'!D:D,'MOVIMENTAÇÕES'!C:C,A2,'MOVIMENTAÇÕES'!B:B,"Entrada"),""))</f>
        <v>30</v>
      </c>
      <c r="F2" s="4">
        <v>50.0</v>
      </c>
      <c r="G2" s="5">
        <f>IF(A2="","",IFERROR(D3+E2-F2,""))</f>
        <v>-18</v>
      </c>
      <c r="H2" s="5">
        <f>PRODUTOS!F2</f>
        <v>10</v>
      </c>
      <c r="I2" s="2" t="str">
        <f t="shared" ref="I2:I47" si="1">IF(A2="","",IFERROR(IF(G2&lt;=H2,"REPOR ESTOQUE","OK"),""))</f>
        <v>REPOR ESTOQUE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" t="str">
        <f>PRODUTOS!A3</f>
        <v>P002</v>
      </c>
      <c r="B3" s="5" t="str">
        <f>IF(A3="","",IFERROR(VLOOKUP(A3,PRODUTOS!A:B,2,FALSE),""))</f>
        <v>Mouse Óptico</v>
      </c>
      <c r="C3" s="5" t="str">
        <f>IF(A3="","",IFERROR(VLOOKUP(A3,PRODUTOS!A:C,3,FALSE),""))</f>
        <v>Informática</v>
      </c>
      <c r="D3" s="4">
        <v>2.0</v>
      </c>
      <c r="E3" s="5">
        <f>IF(A3="","",IFERROR(SUMIFS('MOVIMENTAÇÕES'!D:D,'MOVIMENTAÇÕES'!C:C,A3,'MOVIMENTAÇÕES'!B:B,"Entrada"),""))</f>
        <v>40</v>
      </c>
      <c r="F3" s="5">
        <f>IF(A3="","",IFERROR(SUMIFS('MOVIMENTAÇÕES'!D:D,'MOVIMENTAÇÕES'!C:C,A3,'MOVIMENTAÇÕES'!B:B,"Saída"),""))</f>
        <v>0</v>
      </c>
      <c r="G3" s="5" t="str">
        <f>IF(A3="","",IFERROR(#REF!+E3-F3,""))</f>
        <v/>
      </c>
      <c r="H3" s="5">
        <f>PRODUTOS!F3</f>
        <v>15</v>
      </c>
      <c r="I3" s="2" t="str">
        <f t="shared" si="1"/>
        <v>OK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" t="str">
        <f>PRODUTOS!A4</f>
        <v>P003</v>
      </c>
      <c r="B4" s="5" t="str">
        <f>IF(A4="","",IFERROR(VLOOKUP(A4,PRODUTOS!A:B,2,FALSE),""))</f>
        <v>Caderno A4</v>
      </c>
      <c r="C4" s="5" t="str">
        <f>IF(A4="","",IFERROR(VLOOKUP(A4,PRODUTOS!A:C,3,FALSE),""))</f>
        <v>Papelaria</v>
      </c>
      <c r="D4" s="4">
        <v>0.0</v>
      </c>
      <c r="E4" s="5">
        <f>IF(A4="","",IFERROR(SUMIFS('MOVIMENTAÇÕES'!D:D,'MOVIMENTAÇÕES'!C:C,A4,'MOVIMENTAÇÕES'!B:B,"Entrada"),""))</f>
        <v>50</v>
      </c>
      <c r="F4" s="5">
        <f>IF(A4="","",IFERROR(SUMIFS('MOVIMENTAÇÕES'!D:D,'MOVIMENTAÇÕES'!C:C,A4,'MOVIMENTAÇÕES'!B:B,"Saída"),""))</f>
        <v>0</v>
      </c>
      <c r="G4" s="5">
        <f t="shared" ref="G4:G53" si="2">IF(A4="","",IFERROR(D4+E4-F4,""))</f>
        <v>50</v>
      </c>
      <c r="H4" s="5">
        <f>PRODUTOS!F4</f>
        <v>20</v>
      </c>
      <c r="I4" s="2" t="str">
        <f t="shared" si="1"/>
        <v>OK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4" t="str">
        <f>PRODUTOS!A5</f>
        <v/>
      </c>
      <c r="B5" s="5" t="str">
        <f>IF(A5="","",IFERROR(VLOOKUP(A5,PRODUTOS!A:B,2,FALSE),""))</f>
        <v/>
      </c>
      <c r="C5" s="5" t="str">
        <f>IF(A5="","",IFERROR(VLOOKUP(A5,PRODUTOS!A:C,3,FALSE),""))</f>
        <v/>
      </c>
      <c r="D5" s="4">
        <v>0.0</v>
      </c>
      <c r="E5" s="5" t="str">
        <f>IF(A5="","",IFERROR(SUMIFS('MOVIMENTAÇÕES'!D:D,'MOVIMENTAÇÕES'!C:C,A5,'MOVIMENTAÇÕES'!B:B,"Entrada"),""))</f>
        <v/>
      </c>
      <c r="F5" s="5" t="str">
        <f>IF(A5="","",IFERROR(SUMIFS('MOVIMENTAÇÕES'!D:D,'MOVIMENTAÇÕES'!C:C,A5,'MOVIMENTAÇÕES'!B:B,"Saída"),""))</f>
        <v/>
      </c>
      <c r="G5" s="5" t="str">
        <f t="shared" si="2"/>
        <v/>
      </c>
      <c r="H5" s="5" t="str">
        <f>PRODUTOS!F5</f>
        <v/>
      </c>
      <c r="I5" s="2" t="str">
        <f t="shared" si="1"/>
        <v/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4" t="str">
        <f>PRODUTOS!A6</f>
        <v/>
      </c>
      <c r="B6" s="5" t="str">
        <f>IF(A6="","",IFERROR(VLOOKUP(A6,PRODUTOS!A:B,2,FALSE),""))</f>
        <v/>
      </c>
      <c r="C6" s="5" t="str">
        <f>IF(A6="","",IFERROR(VLOOKUP(A6,PRODUTOS!A:C,3,FALSE),""))</f>
        <v/>
      </c>
      <c r="D6" s="4">
        <v>0.0</v>
      </c>
      <c r="E6" s="5" t="str">
        <f>IF(A6="","",IFERROR(SUMIFS('MOVIMENTAÇÕES'!D:D,'MOVIMENTAÇÕES'!C:C,A6,'MOVIMENTAÇÕES'!B:B,"Entrada"),""))</f>
        <v/>
      </c>
      <c r="F6" s="5" t="str">
        <f>IF(A6="","",IFERROR(SUMIFS('MOVIMENTAÇÕES'!D:D,'MOVIMENTAÇÕES'!C:C,A6,'MOVIMENTAÇÕES'!B:B,"Saída"),""))</f>
        <v/>
      </c>
      <c r="G6" s="5" t="str">
        <f t="shared" si="2"/>
        <v/>
      </c>
      <c r="H6" s="5" t="str">
        <f>PRODUTOS!F6</f>
        <v/>
      </c>
      <c r="I6" s="2" t="str">
        <f t="shared" si="1"/>
        <v/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4" t="str">
        <f>PRODUTOS!A7</f>
        <v/>
      </c>
      <c r="B7" s="5" t="str">
        <f>IF(A7="","",IFERROR(VLOOKUP(A7,PRODUTOS!A:B,2,FALSE),""))</f>
        <v/>
      </c>
      <c r="C7" s="5" t="str">
        <f>IF(A7="","",IFERROR(VLOOKUP(A7,PRODUTOS!A:C,3,FALSE),""))</f>
        <v/>
      </c>
      <c r="D7" s="4">
        <v>0.0</v>
      </c>
      <c r="E7" s="5" t="str">
        <f>IF(A7="","",IFERROR(SUMIFS('MOVIMENTAÇÕES'!D:D,'MOVIMENTAÇÕES'!C:C,A7,'MOVIMENTAÇÕES'!B:B,"Entrada"),""))</f>
        <v/>
      </c>
      <c r="F7" s="5" t="str">
        <f>IF(A7="","",IFERROR(SUMIFS('MOVIMENTAÇÕES'!D:D,'MOVIMENTAÇÕES'!C:C,A7,'MOVIMENTAÇÕES'!B:B,"Saída"),""))</f>
        <v/>
      </c>
      <c r="G7" s="5" t="str">
        <f t="shared" si="2"/>
        <v/>
      </c>
      <c r="H7" s="5" t="str">
        <f>PRODUTOS!F7</f>
        <v/>
      </c>
      <c r="I7" s="2" t="str">
        <f t="shared" si="1"/>
        <v/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4" t="str">
        <f>PRODUTOS!A8</f>
        <v/>
      </c>
      <c r="B8" s="5" t="str">
        <f>IF(A8="","",IFERROR(VLOOKUP(A8,PRODUTOS!A:B,2,FALSE),""))</f>
        <v/>
      </c>
      <c r="C8" s="5" t="str">
        <f>IF(A8="","",IFERROR(VLOOKUP(A8,PRODUTOS!A:C,3,FALSE),""))</f>
        <v/>
      </c>
      <c r="D8" s="4">
        <v>0.0</v>
      </c>
      <c r="E8" s="5" t="str">
        <f>IF(A8="","",IFERROR(SUMIFS('MOVIMENTAÇÕES'!D:D,'MOVIMENTAÇÕES'!C:C,A8,'MOVIMENTAÇÕES'!B:B,"Entrada"),""))</f>
        <v/>
      </c>
      <c r="F8" s="5" t="str">
        <f>IF(A8="","",IFERROR(SUMIFS('MOVIMENTAÇÕES'!D:D,'MOVIMENTAÇÕES'!C:C,A8,'MOVIMENTAÇÕES'!B:B,"Saída"),""))</f>
        <v/>
      </c>
      <c r="G8" s="5" t="str">
        <f t="shared" si="2"/>
        <v/>
      </c>
      <c r="H8" s="5" t="str">
        <f>PRODUTOS!F8</f>
        <v/>
      </c>
      <c r="I8" s="2" t="str">
        <f t="shared" si="1"/>
        <v/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4" t="str">
        <f>PRODUTOS!A9</f>
        <v/>
      </c>
      <c r="B9" s="5" t="str">
        <f>IF(A9="","",IFERROR(VLOOKUP(A9,PRODUTOS!A:B,2,FALSE),""))</f>
        <v/>
      </c>
      <c r="C9" s="5" t="str">
        <f>IF(A9="","",IFERROR(VLOOKUP(A9,PRODUTOS!A:C,3,FALSE),""))</f>
        <v/>
      </c>
      <c r="D9" s="5"/>
      <c r="E9" s="5" t="str">
        <f>IF(A9="","",IFERROR(SUMIFS('MOVIMENTAÇÕES'!D:D,'MOVIMENTAÇÕES'!C:C,A9,'MOVIMENTAÇÕES'!B:B,"Entrada"),""))</f>
        <v/>
      </c>
      <c r="F9" s="5" t="str">
        <f>IF(A9="","",IFERROR(SUMIFS('MOVIMENTAÇÕES'!D:D,'MOVIMENTAÇÕES'!C:C,A9,'MOVIMENTAÇÕES'!B:B,"Saída"),""))</f>
        <v/>
      </c>
      <c r="G9" s="5" t="str">
        <f t="shared" si="2"/>
        <v/>
      </c>
      <c r="H9" s="5" t="str">
        <f>PRODUTOS!F9</f>
        <v/>
      </c>
      <c r="I9" s="2" t="str">
        <f t="shared" si="1"/>
        <v/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" t="str">
        <f>PRODUTOS!A10</f>
        <v/>
      </c>
      <c r="B10" s="5" t="str">
        <f>IF(A10="","",IFERROR(VLOOKUP(A10,PRODUTOS!A:B,2,FALSE),""))</f>
        <v/>
      </c>
      <c r="C10" s="5" t="str">
        <f>IF(A10="","",IFERROR(VLOOKUP(A10,PRODUTOS!A:C,3,FALSE),""))</f>
        <v/>
      </c>
      <c r="D10" s="5"/>
      <c r="E10" s="5" t="str">
        <f>IF(A10="","",IFERROR(SUMIFS('MOVIMENTAÇÕES'!D:D,'MOVIMENTAÇÕES'!C:C,A10,'MOVIMENTAÇÕES'!B:B,"Entrada"),""))</f>
        <v/>
      </c>
      <c r="F10" s="5" t="str">
        <f>IF(A10="","",IFERROR(SUMIFS('MOVIMENTAÇÕES'!D:D,'MOVIMENTAÇÕES'!C:C,A10,'MOVIMENTAÇÕES'!B:B,"Saída"),""))</f>
        <v/>
      </c>
      <c r="G10" s="5" t="str">
        <f t="shared" si="2"/>
        <v/>
      </c>
      <c r="H10" s="5" t="str">
        <f>PRODUTOS!F10</f>
        <v/>
      </c>
      <c r="I10" s="2" t="str">
        <f t="shared" si="1"/>
        <v/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" t="str">
        <f>PRODUTOS!A11</f>
        <v/>
      </c>
      <c r="B11" s="5" t="str">
        <f>IF(A11="","",IFERROR(VLOOKUP(A11,PRODUTOS!A:B,2,FALSE),""))</f>
        <v/>
      </c>
      <c r="C11" s="5" t="str">
        <f>IF(A11="","",IFERROR(VLOOKUP(A11,PRODUTOS!A:C,3,FALSE),""))</f>
        <v/>
      </c>
      <c r="D11" s="5"/>
      <c r="E11" s="5" t="str">
        <f>IF(A11="","",IFERROR(SUMIFS('MOVIMENTAÇÕES'!D:D,'MOVIMENTAÇÕES'!C:C,A11,'MOVIMENTAÇÕES'!B:B,"Entrada"),""))</f>
        <v/>
      </c>
      <c r="F11" s="5" t="str">
        <f>IF(A11="","",IFERROR(SUMIFS('MOVIMENTAÇÕES'!D:D,'MOVIMENTAÇÕES'!C:C,A11,'MOVIMENTAÇÕES'!B:B,"Saída"),""))</f>
        <v/>
      </c>
      <c r="G11" s="5" t="str">
        <f t="shared" si="2"/>
        <v/>
      </c>
      <c r="H11" s="5" t="str">
        <f>PRODUTOS!F11</f>
        <v/>
      </c>
      <c r="I11" s="2" t="str">
        <f t="shared" si="1"/>
        <v/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4" t="str">
        <f>PRODUTOS!A12</f>
        <v/>
      </c>
      <c r="B12" s="5" t="str">
        <f>IF(A12="","",IFERROR(VLOOKUP(A12,PRODUTOS!A:B,2,FALSE),""))</f>
        <v/>
      </c>
      <c r="C12" s="5" t="str">
        <f>IF(A12="","",IFERROR(VLOOKUP(A12,PRODUTOS!A:C,3,FALSE),""))</f>
        <v/>
      </c>
      <c r="D12" s="5"/>
      <c r="E12" s="5" t="str">
        <f>IF(A12="","",IFERROR(SUMIFS('MOVIMENTAÇÕES'!D:D,'MOVIMENTAÇÕES'!C:C,A12,'MOVIMENTAÇÕES'!B:B,"Entrada"),""))</f>
        <v/>
      </c>
      <c r="F12" s="5" t="str">
        <f>IF(A12="","",IFERROR(SUMIFS('MOVIMENTAÇÕES'!D:D,'MOVIMENTAÇÕES'!C:C,A12,'MOVIMENTAÇÕES'!B:B,"Saída"),""))</f>
        <v/>
      </c>
      <c r="G12" s="5" t="str">
        <f t="shared" si="2"/>
        <v/>
      </c>
      <c r="H12" s="5" t="str">
        <f>PRODUTOS!F12</f>
        <v/>
      </c>
      <c r="I12" s="2" t="str">
        <f t="shared" si="1"/>
        <v/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4" t="str">
        <f>PRODUTOS!A13</f>
        <v/>
      </c>
      <c r="B13" s="5" t="str">
        <f>IF(A13="","",IFERROR(VLOOKUP(A13,PRODUTOS!A:B,2,FALSE),""))</f>
        <v/>
      </c>
      <c r="C13" s="5" t="str">
        <f>IF(A13="","",IFERROR(VLOOKUP(A13,PRODUTOS!A:C,3,FALSE),""))</f>
        <v/>
      </c>
      <c r="D13" s="5"/>
      <c r="E13" s="5" t="str">
        <f>IF(A13="","",IFERROR(SUMIFS('MOVIMENTAÇÕES'!D:D,'MOVIMENTAÇÕES'!C:C,A13,'MOVIMENTAÇÕES'!B:B,"Entrada"),""))</f>
        <v/>
      </c>
      <c r="F13" s="5" t="str">
        <f>IF(A13="","",IFERROR(SUMIFS('MOVIMENTAÇÕES'!D:D,'MOVIMENTAÇÕES'!C:C,A13,'MOVIMENTAÇÕES'!B:B,"Saída"),""))</f>
        <v/>
      </c>
      <c r="G13" s="5" t="str">
        <f t="shared" si="2"/>
        <v/>
      </c>
      <c r="H13" s="5" t="str">
        <f>PRODUTOS!F13</f>
        <v/>
      </c>
      <c r="I13" s="2" t="str">
        <f t="shared" si="1"/>
        <v/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4" t="str">
        <f>PRODUTOS!A14</f>
        <v/>
      </c>
      <c r="B14" s="5" t="str">
        <f>IF(A14="","",IFERROR(VLOOKUP(A14,PRODUTOS!A:B,2,FALSE),""))</f>
        <v/>
      </c>
      <c r="C14" s="5" t="str">
        <f>IF(A14="","",IFERROR(VLOOKUP(A14,PRODUTOS!A:C,3,FALSE),""))</f>
        <v/>
      </c>
      <c r="D14" s="5"/>
      <c r="E14" s="5" t="str">
        <f>IF(A14="","",IFERROR(SUMIFS('MOVIMENTAÇÕES'!D:D,'MOVIMENTAÇÕES'!C:C,A14,'MOVIMENTAÇÕES'!B:B,"Entrada"),""))</f>
        <v/>
      </c>
      <c r="F14" s="5" t="str">
        <f>IF(A14="","",IFERROR(SUMIFS('MOVIMENTAÇÕES'!D:D,'MOVIMENTAÇÕES'!C:C,A14,'MOVIMENTAÇÕES'!B:B,"Saída"),""))</f>
        <v/>
      </c>
      <c r="G14" s="5" t="str">
        <f t="shared" si="2"/>
        <v/>
      </c>
      <c r="H14" s="5" t="str">
        <f>PRODUTOS!F14</f>
        <v/>
      </c>
      <c r="I14" s="2" t="str">
        <f t="shared" si="1"/>
        <v/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4" t="str">
        <f>PRODUTOS!A15</f>
        <v/>
      </c>
      <c r="B15" s="5" t="str">
        <f>IF(A15="","",IFERROR(VLOOKUP(A15,PRODUTOS!A:B,2,FALSE),""))</f>
        <v/>
      </c>
      <c r="C15" s="5" t="str">
        <f>IF(A15="","",IFERROR(VLOOKUP(A15,PRODUTOS!A:C,3,FALSE),""))</f>
        <v/>
      </c>
      <c r="D15" s="5"/>
      <c r="E15" s="5" t="str">
        <f>IF(A15="","",IFERROR(SUMIFS('MOVIMENTAÇÕES'!D:D,'MOVIMENTAÇÕES'!C:C,A15,'MOVIMENTAÇÕES'!B:B,"Entrada"),""))</f>
        <v/>
      </c>
      <c r="F15" s="5" t="str">
        <f>IF(A15="","",IFERROR(SUMIFS('MOVIMENTAÇÕES'!D:D,'MOVIMENTAÇÕES'!C:C,A15,'MOVIMENTAÇÕES'!B:B,"Saída"),""))</f>
        <v/>
      </c>
      <c r="G15" s="5" t="str">
        <f t="shared" si="2"/>
        <v/>
      </c>
      <c r="H15" s="5" t="str">
        <f>PRODUTOS!F15</f>
        <v/>
      </c>
      <c r="I15" s="2" t="str">
        <f t="shared" si="1"/>
        <v/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4" t="str">
        <f>PRODUTOS!A16</f>
        <v/>
      </c>
      <c r="B16" s="5" t="str">
        <f>IF(A16="","",IFERROR(VLOOKUP(A16,PRODUTOS!A:B,2,FALSE),""))</f>
        <v/>
      </c>
      <c r="C16" s="5" t="str">
        <f>IF(A16="","",IFERROR(VLOOKUP(A16,PRODUTOS!A:C,3,FALSE),""))</f>
        <v/>
      </c>
      <c r="D16" s="5"/>
      <c r="E16" s="5" t="str">
        <f>IF(A16="","",IFERROR(SUMIFS('MOVIMENTAÇÕES'!D:D,'MOVIMENTAÇÕES'!C:C,A16,'MOVIMENTAÇÕES'!B:B,"Entrada"),""))</f>
        <v/>
      </c>
      <c r="F16" s="5" t="str">
        <f>IF(A16="","",IFERROR(SUMIFS('MOVIMENTAÇÕES'!D:D,'MOVIMENTAÇÕES'!C:C,A16,'MOVIMENTAÇÕES'!B:B,"Saída"),""))</f>
        <v/>
      </c>
      <c r="G16" s="5" t="str">
        <f t="shared" si="2"/>
        <v/>
      </c>
      <c r="H16" s="5" t="str">
        <f>PRODUTOS!F16</f>
        <v/>
      </c>
      <c r="I16" s="2" t="str">
        <f t="shared" si="1"/>
        <v/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4" t="str">
        <f>PRODUTOS!A17</f>
        <v/>
      </c>
      <c r="B17" s="5" t="str">
        <f>IF(A17="","",IFERROR(VLOOKUP(A17,PRODUTOS!A:B,2,FALSE),""))</f>
        <v/>
      </c>
      <c r="C17" s="5" t="str">
        <f>IF(A17="","",IFERROR(VLOOKUP(A17,PRODUTOS!A:C,3,FALSE),""))</f>
        <v/>
      </c>
      <c r="D17" s="5"/>
      <c r="E17" s="5" t="str">
        <f>IF(A17="","",IFERROR(SUMIFS('MOVIMENTAÇÕES'!D:D,'MOVIMENTAÇÕES'!C:C,A17,'MOVIMENTAÇÕES'!B:B,"Entrada"),""))</f>
        <v/>
      </c>
      <c r="F17" s="5" t="str">
        <f>IF(A17="","",IFERROR(SUMIFS('MOVIMENTAÇÕES'!D:D,'MOVIMENTAÇÕES'!C:C,A17,'MOVIMENTAÇÕES'!B:B,"Saída"),""))</f>
        <v/>
      </c>
      <c r="G17" s="5" t="str">
        <f t="shared" si="2"/>
        <v/>
      </c>
      <c r="H17" s="5" t="str">
        <f>PRODUTOS!F17</f>
        <v/>
      </c>
      <c r="I17" s="2" t="str">
        <f t="shared" si="1"/>
        <v/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4" t="str">
        <f>PRODUTOS!A18</f>
        <v/>
      </c>
      <c r="B18" s="5" t="str">
        <f>IF(A18="","",IFERROR(VLOOKUP(A18,PRODUTOS!A:B,2,FALSE),""))</f>
        <v/>
      </c>
      <c r="C18" s="5" t="str">
        <f>IF(A18="","",IFERROR(VLOOKUP(A18,PRODUTOS!A:C,3,FALSE),""))</f>
        <v/>
      </c>
      <c r="D18" s="5"/>
      <c r="E18" s="5" t="str">
        <f>IF(A18="","",IFERROR(SUMIFS('MOVIMENTAÇÕES'!D:D,'MOVIMENTAÇÕES'!C:C,A18,'MOVIMENTAÇÕES'!B:B,"Entrada"),""))</f>
        <v/>
      </c>
      <c r="F18" s="5" t="str">
        <f>IF(A18="","",IFERROR(SUMIFS('MOVIMENTAÇÕES'!D:D,'MOVIMENTAÇÕES'!C:C,A18,'MOVIMENTAÇÕES'!B:B,"Saída"),""))</f>
        <v/>
      </c>
      <c r="G18" s="5" t="str">
        <f t="shared" si="2"/>
        <v/>
      </c>
      <c r="H18" s="5" t="str">
        <f>PRODUTOS!F18</f>
        <v/>
      </c>
      <c r="I18" s="2" t="str">
        <f t="shared" si="1"/>
        <v/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4" t="str">
        <f>PRODUTOS!A19</f>
        <v/>
      </c>
      <c r="B19" s="5" t="str">
        <f>IF(A19="","",IFERROR(VLOOKUP(A19,PRODUTOS!A:B,2,FALSE),""))</f>
        <v/>
      </c>
      <c r="C19" s="5" t="str">
        <f>IF(A19="","",IFERROR(VLOOKUP(A19,PRODUTOS!A:C,3,FALSE),""))</f>
        <v/>
      </c>
      <c r="D19" s="5"/>
      <c r="E19" s="5" t="str">
        <f>IF(A19="","",IFERROR(SUMIFS('MOVIMENTAÇÕES'!D:D,'MOVIMENTAÇÕES'!C:C,A19,'MOVIMENTAÇÕES'!B:B,"Entrada"),""))</f>
        <v/>
      </c>
      <c r="F19" s="5" t="str">
        <f>IF(A19="","",IFERROR(SUMIFS('MOVIMENTAÇÕES'!D:D,'MOVIMENTAÇÕES'!C:C,A19,'MOVIMENTAÇÕES'!B:B,"Saída"),""))</f>
        <v/>
      </c>
      <c r="G19" s="5" t="str">
        <f t="shared" si="2"/>
        <v/>
      </c>
      <c r="H19" s="5" t="str">
        <f>PRODUTOS!F19</f>
        <v/>
      </c>
      <c r="I19" s="2" t="str">
        <f t="shared" si="1"/>
        <v/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4" t="str">
        <f>PRODUTOS!A20</f>
        <v/>
      </c>
      <c r="B20" s="5" t="str">
        <f>IF(A20="","",IFERROR(VLOOKUP(A20,PRODUTOS!A:B,2,FALSE),""))</f>
        <v/>
      </c>
      <c r="C20" s="5" t="str">
        <f>IF(A20="","",IFERROR(VLOOKUP(A20,PRODUTOS!A:C,3,FALSE),""))</f>
        <v/>
      </c>
      <c r="D20" s="5"/>
      <c r="E20" s="5" t="str">
        <f>IF(A20="","",IFERROR(SUMIFS('MOVIMENTAÇÕES'!D:D,'MOVIMENTAÇÕES'!C:C,A20,'MOVIMENTAÇÕES'!B:B,"Entrada"),""))</f>
        <v/>
      </c>
      <c r="F20" s="5" t="str">
        <f>IF(A20="","",IFERROR(SUMIFS('MOVIMENTAÇÕES'!D:D,'MOVIMENTAÇÕES'!C:C,A20,'MOVIMENTAÇÕES'!B:B,"Saída"),""))</f>
        <v/>
      </c>
      <c r="G20" s="5" t="str">
        <f t="shared" si="2"/>
        <v/>
      </c>
      <c r="H20" s="5" t="str">
        <f>PRODUTOS!F20</f>
        <v/>
      </c>
      <c r="I20" s="2" t="str">
        <f t="shared" si="1"/>
        <v/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4" t="str">
        <f>PRODUTOS!A21</f>
        <v/>
      </c>
      <c r="B21" s="5" t="str">
        <f>IF(A21="","",IFERROR(VLOOKUP(A21,PRODUTOS!A:B,2,FALSE),""))</f>
        <v/>
      </c>
      <c r="C21" s="5" t="str">
        <f>IF(A21="","",IFERROR(VLOOKUP(A21,PRODUTOS!A:C,3,FALSE),""))</f>
        <v/>
      </c>
      <c r="D21" s="5"/>
      <c r="E21" s="5" t="str">
        <f>IF(A21="","",IFERROR(SUMIFS('MOVIMENTAÇÕES'!D:D,'MOVIMENTAÇÕES'!C:C,A21,'MOVIMENTAÇÕES'!B:B,"Entrada"),""))</f>
        <v/>
      </c>
      <c r="F21" s="5" t="str">
        <f>IF(A21="","",IFERROR(SUMIFS('MOVIMENTAÇÕES'!D:D,'MOVIMENTAÇÕES'!C:C,A21,'MOVIMENTAÇÕES'!B:B,"Saída"),""))</f>
        <v/>
      </c>
      <c r="G21" s="5" t="str">
        <f t="shared" si="2"/>
        <v/>
      </c>
      <c r="H21" s="5" t="str">
        <f>PRODUTOS!F21</f>
        <v/>
      </c>
      <c r="I21" s="2" t="str">
        <f t="shared" si="1"/>
        <v/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4" t="str">
        <f>PRODUTOS!A22</f>
        <v/>
      </c>
      <c r="B22" s="5" t="str">
        <f>IF(A22="","",IFERROR(VLOOKUP(A22,PRODUTOS!A:B,2,FALSE),""))</f>
        <v/>
      </c>
      <c r="C22" s="5" t="str">
        <f>IF(A22="","",IFERROR(VLOOKUP(A22,PRODUTOS!A:C,3,FALSE),""))</f>
        <v/>
      </c>
      <c r="D22" s="5"/>
      <c r="E22" s="5" t="str">
        <f>IF(A22="","",IFERROR(SUMIFS('MOVIMENTAÇÕES'!D:D,'MOVIMENTAÇÕES'!C:C,A22,'MOVIMENTAÇÕES'!B:B,"Entrada"),""))</f>
        <v/>
      </c>
      <c r="F22" s="5" t="str">
        <f>IF(A22="","",IFERROR(SUMIFS('MOVIMENTAÇÕES'!D:D,'MOVIMENTAÇÕES'!C:C,A22,'MOVIMENTAÇÕES'!B:B,"Saída"),""))</f>
        <v/>
      </c>
      <c r="G22" s="5" t="str">
        <f t="shared" si="2"/>
        <v/>
      </c>
      <c r="H22" s="5" t="str">
        <f>IF(A22="","",VLOOKUP(A22,PRODUTOS!A:G,7,FALSE))</f>
        <v/>
      </c>
      <c r="I22" s="2" t="str">
        <f t="shared" si="1"/>
        <v/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4" t="str">
        <f>PRODUTOS!A23</f>
        <v/>
      </c>
      <c r="B23" s="5" t="str">
        <f>IF(A23="","",IFERROR(VLOOKUP(A23,PRODUTOS!A:B,2,FALSE),""))</f>
        <v/>
      </c>
      <c r="C23" s="5" t="str">
        <f>IF(A23="","",IFERROR(VLOOKUP(A23,PRODUTOS!A:C,3,FALSE),""))</f>
        <v/>
      </c>
      <c r="D23" s="5"/>
      <c r="E23" s="5" t="str">
        <f>IF(A23="","",IFERROR(SUMIFS('MOVIMENTAÇÕES'!D:D,'MOVIMENTAÇÕES'!C:C,A23,'MOVIMENTAÇÕES'!B:B,"Entrada"),""))</f>
        <v/>
      </c>
      <c r="F23" s="5" t="str">
        <f>IF(A23="","",IFERROR(SUMIFS('MOVIMENTAÇÕES'!D:D,'MOVIMENTAÇÕES'!C:C,A23,'MOVIMENTAÇÕES'!B:B,"Saída"),""))</f>
        <v/>
      </c>
      <c r="G23" s="5" t="str">
        <f t="shared" si="2"/>
        <v/>
      </c>
      <c r="H23" s="5" t="str">
        <f>IF(A23="","",VLOOKUP(A23,PRODUTOS!A:G,7,FALSE))</f>
        <v/>
      </c>
      <c r="I23" s="2" t="str">
        <f t="shared" si="1"/>
        <v/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4" t="str">
        <f>PRODUTOS!A24</f>
        <v/>
      </c>
      <c r="B24" s="5" t="str">
        <f>IF(A24="","",IFERROR(VLOOKUP(A24,PRODUTOS!A:B,2,FALSE),""))</f>
        <v/>
      </c>
      <c r="C24" s="5" t="str">
        <f>IF(A24="","",IFERROR(VLOOKUP(A24,PRODUTOS!A:C,3,FALSE),""))</f>
        <v/>
      </c>
      <c r="D24" s="5"/>
      <c r="E24" s="5" t="str">
        <f>IF(A24="","",IFERROR(SUMIFS('MOVIMENTAÇÕES'!D:D,'MOVIMENTAÇÕES'!C:C,A24,'MOVIMENTAÇÕES'!B:B,"Entrada"),""))</f>
        <v/>
      </c>
      <c r="F24" s="5" t="str">
        <f>IF(A24="","",IFERROR(SUMIFS('MOVIMENTAÇÕES'!D:D,'MOVIMENTAÇÕES'!C:C,A24,'MOVIMENTAÇÕES'!B:B,"Saída"),""))</f>
        <v/>
      </c>
      <c r="G24" s="5" t="str">
        <f t="shared" si="2"/>
        <v/>
      </c>
      <c r="H24" s="5" t="str">
        <f>IF(A24="","",VLOOKUP(A24,PRODUTOS!A:G,7,FALSE))</f>
        <v/>
      </c>
      <c r="I24" s="2" t="str">
        <f t="shared" si="1"/>
        <v/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4" t="str">
        <f>PRODUTOS!A25</f>
        <v/>
      </c>
      <c r="B25" s="5" t="str">
        <f>IF(A25="","",IFERROR(VLOOKUP(A25,PRODUTOS!A:B,2,FALSE),""))</f>
        <v/>
      </c>
      <c r="C25" s="5" t="str">
        <f>IF(A25="","",IFERROR(VLOOKUP(A25,PRODUTOS!A:C,3,FALSE),""))</f>
        <v/>
      </c>
      <c r="D25" s="5"/>
      <c r="E25" s="5" t="str">
        <f>IF(A25="","",IFERROR(SUMIFS('MOVIMENTAÇÕES'!D:D,'MOVIMENTAÇÕES'!C:C,A25,'MOVIMENTAÇÕES'!B:B,"Entrada"),""))</f>
        <v/>
      </c>
      <c r="F25" s="5" t="str">
        <f>IF(A25="","",IFERROR(SUMIFS('MOVIMENTAÇÕES'!D:D,'MOVIMENTAÇÕES'!C:C,A25,'MOVIMENTAÇÕES'!B:B,"Saída"),""))</f>
        <v/>
      </c>
      <c r="G25" s="5" t="str">
        <f t="shared" si="2"/>
        <v/>
      </c>
      <c r="H25" s="5" t="str">
        <f>IF(A25="","",VLOOKUP(A25,PRODUTOS!A:G,7,FALSE))</f>
        <v/>
      </c>
      <c r="I25" s="2" t="str">
        <f t="shared" si="1"/>
        <v/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4" t="str">
        <f>PRODUTOS!A26</f>
        <v/>
      </c>
      <c r="B26" s="5" t="str">
        <f>IF(A26="","",IFERROR(VLOOKUP(A26,PRODUTOS!A:B,2,FALSE),""))</f>
        <v/>
      </c>
      <c r="C26" s="5" t="str">
        <f>IF(A26="","",IFERROR(VLOOKUP(A26,PRODUTOS!A:C,3,FALSE),""))</f>
        <v/>
      </c>
      <c r="D26" s="5"/>
      <c r="E26" s="5" t="str">
        <f>IF(A26="","",IFERROR(SUMIFS('MOVIMENTAÇÕES'!D:D,'MOVIMENTAÇÕES'!C:C,A26,'MOVIMENTAÇÕES'!B:B,"Entrada"),""))</f>
        <v/>
      </c>
      <c r="F26" s="5" t="str">
        <f>IF(A26="","",IFERROR(SUMIFS('MOVIMENTAÇÕES'!D:D,'MOVIMENTAÇÕES'!C:C,A26,'MOVIMENTAÇÕES'!B:B,"Saída"),""))</f>
        <v/>
      </c>
      <c r="G26" s="5" t="str">
        <f t="shared" si="2"/>
        <v/>
      </c>
      <c r="H26" s="5" t="str">
        <f>IF(A26="","",VLOOKUP(A26,PRODUTOS!A:G,7,FALSE))</f>
        <v/>
      </c>
      <c r="I26" s="2" t="str">
        <f t="shared" si="1"/>
        <v/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4" t="str">
        <f>PRODUTOS!A27</f>
        <v/>
      </c>
      <c r="B27" s="5" t="str">
        <f>IF(A27="","",IFERROR(VLOOKUP(A27,PRODUTOS!A:B,2,FALSE),""))</f>
        <v/>
      </c>
      <c r="C27" s="5" t="str">
        <f>IF(A27="","",IFERROR(VLOOKUP(A27,PRODUTOS!A:C,3,FALSE),""))</f>
        <v/>
      </c>
      <c r="D27" s="5"/>
      <c r="E27" s="5" t="str">
        <f>IF(A27="","",IFERROR(SUMIFS('MOVIMENTAÇÕES'!D:D,'MOVIMENTAÇÕES'!C:C,A27,'MOVIMENTAÇÕES'!B:B,"Entrada"),""))</f>
        <v/>
      </c>
      <c r="F27" s="5" t="str">
        <f>IF(A27="","",IFERROR(SUMIFS('MOVIMENTAÇÕES'!D:D,'MOVIMENTAÇÕES'!C:C,A27,'MOVIMENTAÇÕES'!B:B,"Saída"),""))</f>
        <v/>
      </c>
      <c r="G27" s="5" t="str">
        <f t="shared" si="2"/>
        <v/>
      </c>
      <c r="H27" s="5" t="str">
        <f>IF(A27="","",VLOOKUP(A27,PRODUTOS!A:G,7,FALSE))</f>
        <v/>
      </c>
      <c r="I27" s="2" t="str">
        <f t="shared" si="1"/>
        <v/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4" t="str">
        <f>PRODUTOS!A28</f>
        <v/>
      </c>
      <c r="B28" s="5" t="str">
        <f>IF(A28="","",IFERROR(VLOOKUP(A28,PRODUTOS!A:B,2,FALSE),""))</f>
        <v/>
      </c>
      <c r="C28" s="5" t="str">
        <f>IF(A28="","",IFERROR(VLOOKUP(A28,PRODUTOS!A:C,3,FALSE),""))</f>
        <v/>
      </c>
      <c r="D28" s="5"/>
      <c r="E28" s="5" t="str">
        <f>IF(A28="","",IFERROR(SUMIFS('MOVIMENTAÇÕES'!D:D,'MOVIMENTAÇÕES'!C:C,A28,'MOVIMENTAÇÕES'!B:B,"Entrada"),""))</f>
        <v/>
      </c>
      <c r="F28" s="5" t="str">
        <f>IF(A28="","",IFERROR(SUMIFS('MOVIMENTAÇÕES'!D:D,'MOVIMENTAÇÕES'!C:C,A28,'MOVIMENTAÇÕES'!B:B,"Saída"),""))</f>
        <v/>
      </c>
      <c r="G28" s="5" t="str">
        <f t="shared" si="2"/>
        <v/>
      </c>
      <c r="H28" s="5" t="str">
        <f>IF(A28="","",VLOOKUP(A28,PRODUTOS!A:G,7,FALSE))</f>
        <v/>
      </c>
      <c r="I28" s="2" t="str">
        <f t="shared" si="1"/>
        <v/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4" t="str">
        <f>PRODUTOS!A29</f>
        <v/>
      </c>
      <c r="B29" s="5" t="str">
        <f>IF(A29="","",IFERROR(VLOOKUP(A29,PRODUTOS!A:B,2,FALSE),""))</f>
        <v/>
      </c>
      <c r="C29" s="5" t="str">
        <f>IF(A29="","",IFERROR(VLOOKUP(A29,PRODUTOS!A:C,3,FALSE),""))</f>
        <v/>
      </c>
      <c r="D29" s="5"/>
      <c r="E29" s="5" t="str">
        <f>IF(A29="","",IFERROR(SUMIFS('MOVIMENTAÇÕES'!D:D,'MOVIMENTAÇÕES'!C:C,A29,'MOVIMENTAÇÕES'!B:B,"Entrada"),""))</f>
        <v/>
      </c>
      <c r="F29" s="5" t="str">
        <f>IF(A29="","",IFERROR(SUMIFS('MOVIMENTAÇÕES'!D:D,'MOVIMENTAÇÕES'!C:C,A29,'MOVIMENTAÇÕES'!B:B,"Saída"),""))</f>
        <v/>
      </c>
      <c r="G29" s="5" t="str">
        <f t="shared" si="2"/>
        <v/>
      </c>
      <c r="H29" s="5" t="str">
        <f>IF(A29="","",VLOOKUP(A29,PRODUTOS!A:G,7,FALSE))</f>
        <v/>
      </c>
      <c r="I29" s="2" t="str">
        <f t="shared" si="1"/>
        <v/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4" t="str">
        <f>PRODUTOS!A30</f>
        <v/>
      </c>
      <c r="B30" s="5" t="str">
        <f>IF(A30="","",IFERROR(VLOOKUP(A30,PRODUTOS!A:B,2,FALSE),""))</f>
        <v/>
      </c>
      <c r="C30" s="5" t="str">
        <f>IF(A30="","",IFERROR(VLOOKUP(A30,PRODUTOS!A:C,3,FALSE),""))</f>
        <v/>
      </c>
      <c r="D30" s="5"/>
      <c r="E30" s="5" t="str">
        <f>IF(A30="","",IFERROR(SUMIFS('MOVIMENTAÇÕES'!D:D,'MOVIMENTAÇÕES'!C:C,A30,'MOVIMENTAÇÕES'!B:B,"Entrada"),""))</f>
        <v/>
      </c>
      <c r="F30" s="5" t="str">
        <f>IF(A30="","",IFERROR(SUMIFS('MOVIMENTAÇÕES'!D:D,'MOVIMENTAÇÕES'!C:C,A30,'MOVIMENTAÇÕES'!B:B,"Saída"),""))</f>
        <v/>
      </c>
      <c r="G30" s="5" t="str">
        <f t="shared" si="2"/>
        <v/>
      </c>
      <c r="H30" s="5" t="str">
        <f>IF(A30="","",VLOOKUP(A30,PRODUTOS!A:G,7,FALSE))</f>
        <v/>
      </c>
      <c r="I30" s="2" t="str">
        <f t="shared" si="1"/>
        <v/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" t="str">
        <f>PRODUTOS!A31</f>
        <v/>
      </c>
      <c r="B31" s="5" t="str">
        <f>IF(A31="","",IFERROR(VLOOKUP(A31,PRODUTOS!A:B,2,FALSE),""))</f>
        <v/>
      </c>
      <c r="C31" s="5" t="str">
        <f>IF(A31="","",IFERROR(VLOOKUP(A31,PRODUTOS!A:C,3,FALSE),""))</f>
        <v/>
      </c>
      <c r="D31" s="5"/>
      <c r="E31" s="5" t="str">
        <f>IF(A31="","",IFERROR(SUMIFS('MOVIMENTAÇÕES'!D:D,'MOVIMENTAÇÕES'!C:C,A31,'MOVIMENTAÇÕES'!B:B,"Entrada"),""))</f>
        <v/>
      </c>
      <c r="F31" s="5" t="str">
        <f>IF(A31="","",IFERROR(SUMIFS('MOVIMENTAÇÕES'!D:D,'MOVIMENTAÇÕES'!C:C,A31,'MOVIMENTAÇÕES'!B:B,"Saída"),""))</f>
        <v/>
      </c>
      <c r="G31" s="5" t="str">
        <f t="shared" si="2"/>
        <v/>
      </c>
      <c r="H31" s="5" t="str">
        <f>IF(A31="","",VLOOKUP(A31,PRODUTOS!A:G,7,FALSE))</f>
        <v/>
      </c>
      <c r="I31" s="2" t="str">
        <f t="shared" si="1"/>
        <v/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" t="str">
        <f>PRODUTOS!A32</f>
        <v/>
      </c>
      <c r="B32" s="5" t="str">
        <f>IF(A32="","",IFERROR(VLOOKUP(A32,PRODUTOS!A:B,2,FALSE),""))</f>
        <v/>
      </c>
      <c r="C32" s="5" t="str">
        <f>IF(A32="","",IFERROR(VLOOKUP(A32,PRODUTOS!A:C,3,FALSE),""))</f>
        <v/>
      </c>
      <c r="D32" s="5"/>
      <c r="E32" s="5" t="str">
        <f>IF(A32="","",IFERROR(SUMIFS('MOVIMENTAÇÕES'!D:D,'MOVIMENTAÇÕES'!C:C,A32,'MOVIMENTAÇÕES'!B:B,"Entrada"),""))</f>
        <v/>
      </c>
      <c r="F32" s="5" t="str">
        <f>IF(A32="","",IFERROR(SUMIFS('MOVIMENTAÇÕES'!D:D,'MOVIMENTAÇÕES'!C:C,A32,'MOVIMENTAÇÕES'!B:B,"Saída"),""))</f>
        <v/>
      </c>
      <c r="G32" s="5" t="str">
        <f t="shared" si="2"/>
        <v/>
      </c>
      <c r="H32" s="5" t="str">
        <f>IF(A32="","",VLOOKUP(A32,PRODUTOS!A:G,7,FALSE))</f>
        <v/>
      </c>
      <c r="I32" s="2" t="str">
        <f t="shared" si="1"/>
        <v/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4" t="str">
        <f>PRODUTOS!A33</f>
        <v/>
      </c>
      <c r="B33" s="5" t="str">
        <f>IF(A33="","",IFERROR(VLOOKUP(A33,PRODUTOS!A:B,2,FALSE),""))</f>
        <v/>
      </c>
      <c r="C33" s="5" t="str">
        <f>IF(A33="","",IFERROR(VLOOKUP(A33,PRODUTOS!A:C,3,FALSE),""))</f>
        <v/>
      </c>
      <c r="D33" s="5"/>
      <c r="E33" s="5" t="str">
        <f>IF(A33="","",IFERROR(SUMIFS('MOVIMENTAÇÕES'!D:D,'MOVIMENTAÇÕES'!C:C,A33,'MOVIMENTAÇÕES'!B:B,"Entrada"),""))</f>
        <v/>
      </c>
      <c r="F33" s="5" t="str">
        <f>IF(A33="","",IFERROR(SUMIFS('MOVIMENTAÇÕES'!D:D,'MOVIMENTAÇÕES'!C:C,A33,'MOVIMENTAÇÕES'!B:B,"Saída"),""))</f>
        <v/>
      </c>
      <c r="G33" s="5" t="str">
        <f t="shared" si="2"/>
        <v/>
      </c>
      <c r="H33" s="5" t="str">
        <f>IF(A33="","",VLOOKUP(A33,PRODUTOS!A:G,7,FALSE))</f>
        <v/>
      </c>
      <c r="I33" s="2" t="str">
        <f t="shared" si="1"/>
        <v/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" t="str">
        <f>PRODUTOS!A34</f>
        <v/>
      </c>
      <c r="B34" s="5" t="str">
        <f>IF(A34="","",IFERROR(VLOOKUP(A34,PRODUTOS!A:B,2,FALSE),""))</f>
        <v/>
      </c>
      <c r="C34" s="5" t="str">
        <f>IF(A34="","",IFERROR(VLOOKUP(A34,PRODUTOS!A:C,3,FALSE),""))</f>
        <v/>
      </c>
      <c r="D34" s="5"/>
      <c r="E34" s="5" t="str">
        <f>IF(A34="","",IFERROR(SUMIFS('MOVIMENTAÇÕES'!D:D,'MOVIMENTAÇÕES'!C:C,A34,'MOVIMENTAÇÕES'!B:B,"Entrada"),""))</f>
        <v/>
      </c>
      <c r="F34" s="5" t="str">
        <f>IF(A34="","",IFERROR(SUMIFS('MOVIMENTAÇÕES'!D:D,'MOVIMENTAÇÕES'!C:C,A34,'MOVIMENTAÇÕES'!B:B,"Saída"),""))</f>
        <v/>
      </c>
      <c r="G34" s="5" t="str">
        <f t="shared" si="2"/>
        <v/>
      </c>
      <c r="H34" s="5" t="str">
        <f>IF(A34="","",VLOOKUP(A34,PRODUTOS!A:G,7,FALSE))</f>
        <v/>
      </c>
      <c r="I34" s="2" t="str">
        <f t="shared" si="1"/>
        <v/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" t="str">
        <f>PRODUTOS!A35</f>
        <v/>
      </c>
      <c r="B35" s="5" t="str">
        <f>IF(A35="","",IFERROR(VLOOKUP(A35,PRODUTOS!A:B,2,FALSE),""))</f>
        <v/>
      </c>
      <c r="C35" s="5" t="str">
        <f>IF(A35="","",IFERROR(VLOOKUP(A35,PRODUTOS!A:C,3,FALSE),""))</f>
        <v/>
      </c>
      <c r="D35" s="5"/>
      <c r="E35" s="5" t="str">
        <f>IF(A35="","",IFERROR(SUMIFS('MOVIMENTAÇÕES'!D:D,'MOVIMENTAÇÕES'!C:C,A35,'MOVIMENTAÇÕES'!B:B,"Entrada"),""))</f>
        <v/>
      </c>
      <c r="F35" s="5" t="str">
        <f>IF(A35="","",IFERROR(SUMIFS('MOVIMENTAÇÕES'!D:D,'MOVIMENTAÇÕES'!C:C,A35,'MOVIMENTAÇÕES'!B:B,"Saída"),""))</f>
        <v/>
      </c>
      <c r="G35" s="5" t="str">
        <f t="shared" si="2"/>
        <v/>
      </c>
      <c r="H35" s="5" t="str">
        <f>IF(A35="","",VLOOKUP(A35,PRODUTOS!A:G,7,FALSE))</f>
        <v/>
      </c>
      <c r="I35" s="2" t="str">
        <f t="shared" si="1"/>
        <v/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" t="str">
        <f>PRODUTOS!A36</f>
        <v/>
      </c>
      <c r="B36" s="5" t="str">
        <f>IF(A36="","",IFERROR(VLOOKUP(A36,PRODUTOS!A:B,2,FALSE),""))</f>
        <v/>
      </c>
      <c r="C36" s="5" t="str">
        <f>IF(A36="","",IFERROR(VLOOKUP(A36,PRODUTOS!A:C,3,FALSE),""))</f>
        <v/>
      </c>
      <c r="D36" s="5"/>
      <c r="E36" s="5" t="str">
        <f>IF(A36="","",IFERROR(SUMIFS('MOVIMENTAÇÕES'!D:D,'MOVIMENTAÇÕES'!C:C,A36,'MOVIMENTAÇÕES'!B:B,"Entrada"),""))</f>
        <v/>
      </c>
      <c r="F36" s="5" t="str">
        <f>IF(A36="","",IFERROR(SUMIFS('MOVIMENTAÇÕES'!D:D,'MOVIMENTAÇÕES'!C:C,A36,'MOVIMENTAÇÕES'!B:B,"Saída"),""))</f>
        <v/>
      </c>
      <c r="G36" s="5" t="str">
        <f t="shared" si="2"/>
        <v/>
      </c>
      <c r="H36" s="5" t="str">
        <f>IF(A36="","",VLOOKUP(A36,PRODUTOS!A:G,7,FALSE))</f>
        <v/>
      </c>
      <c r="I36" s="2" t="str">
        <f t="shared" si="1"/>
        <v/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4" t="str">
        <f>PRODUTOS!A37</f>
        <v/>
      </c>
      <c r="B37" s="5" t="str">
        <f>IF(A37="","",IFERROR(VLOOKUP(A37,PRODUTOS!A:B,2,FALSE),""))</f>
        <v/>
      </c>
      <c r="C37" s="5" t="str">
        <f>IF(A37="","",IFERROR(VLOOKUP(A37,PRODUTOS!A:C,3,FALSE),""))</f>
        <v/>
      </c>
      <c r="D37" s="5"/>
      <c r="E37" s="5" t="str">
        <f>IF(A37="","",IFERROR(SUMIFS('MOVIMENTAÇÕES'!D:D,'MOVIMENTAÇÕES'!C:C,A37,'MOVIMENTAÇÕES'!B:B,"Entrada"),""))</f>
        <v/>
      </c>
      <c r="F37" s="5" t="str">
        <f>IF(A37="","",IFERROR(SUMIFS('MOVIMENTAÇÕES'!D:D,'MOVIMENTAÇÕES'!C:C,A37,'MOVIMENTAÇÕES'!B:B,"Saída"),""))</f>
        <v/>
      </c>
      <c r="G37" s="5" t="str">
        <f t="shared" si="2"/>
        <v/>
      </c>
      <c r="H37" s="5" t="str">
        <f>IF(A37="","",VLOOKUP(A37,PRODUTOS!A:G,7,FALSE))</f>
        <v/>
      </c>
      <c r="I37" s="2" t="str">
        <f t="shared" si="1"/>
        <v/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4" t="str">
        <f>PRODUTOS!A38</f>
        <v/>
      </c>
      <c r="B38" s="5" t="str">
        <f>IF(A38="","",IFERROR(VLOOKUP(A38,PRODUTOS!A:B,2,FALSE),""))</f>
        <v/>
      </c>
      <c r="C38" s="5" t="str">
        <f>IF(A38="","",IFERROR(VLOOKUP(A38,PRODUTOS!A:C,3,FALSE),""))</f>
        <v/>
      </c>
      <c r="D38" s="5"/>
      <c r="E38" s="5" t="str">
        <f>IF(A38="","",IFERROR(SUMIFS('MOVIMENTAÇÕES'!D:D,'MOVIMENTAÇÕES'!C:C,A38,'MOVIMENTAÇÕES'!B:B,"Entrada"),""))</f>
        <v/>
      </c>
      <c r="F38" s="5" t="str">
        <f>IF(A38="","",IFERROR(SUMIFS('MOVIMENTAÇÕES'!D:D,'MOVIMENTAÇÕES'!C:C,A38,'MOVIMENTAÇÕES'!B:B,"Saída"),""))</f>
        <v/>
      </c>
      <c r="G38" s="5" t="str">
        <f t="shared" si="2"/>
        <v/>
      </c>
      <c r="H38" s="5" t="str">
        <f>IF(A38="","",VLOOKUP(A38,PRODUTOS!A:G,7,FALSE))</f>
        <v/>
      </c>
      <c r="I38" s="2" t="str">
        <f t="shared" si="1"/>
        <v/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4" t="str">
        <f>PRODUTOS!A39</f>
        <v/>
      </c>
      <c r="B39" s="5" t="str">
        <f>IF(A39="","",IFERROR(VLOOKUP(A39,PRODUTOS!A:B,2,FALSE),""))</f>
        <v/>
      </c>
      <c r="C39" s="5" t="str">
        <f>IF(A39="","",IFERROR(VLOOKUP(A39,PRODUTOS!A:C,3,FALSE),""))</f>
        <v/>
      </c>
      <c r="D39" s="5"/>
      <c r="E39" s="5" t="str">
        <f>IF(A39="","",IFERROR(SUMIFS('MOVIMENTAÇÕES'!D:D,'MOVIMENTAÇÕES'!C:C,A39,'MOVIMENTAÇÕES'!B:B,"Entrada"),""))</f>
        <v/>
      </c>
      <c r="F39" s="5" t="str">
        <f>IF(A39="","",IFERROR(SUMIFS('MOVIMENTAÇÕES'!D:D,'MOVIMENTAÇÕES'!C:C,A39,'MOVIMENTAÇÕES'!B:B,"Saída"),""))</f>
        <v/>
      </c>
      <c r="G39" s="5" t="str">
        <f t="shared" si="2"/>
        <v/>
      </c>
      <c r="H39" s="5" t="str">
        <f>IF(A39="","",VLOOKUP(A39,PRODUTOS!A:G,7,FALSE))</f>
        <v/>
      </c>
      <c r="I39" s="2" t="str">
        <f t="shared" si="1"/>
        <v/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4" t="str">
        <f>PRODUTOS!A40</f>
        <v/>
      </c>
      <c r="B40" s="5" t="str">
        <f>IF(A40="","",IFERROR(VLOOKUP(A40,PRODUTOS!A:B,2,FALSE),""))</f>
        <v/>
      </c>
      <c r="C40" s="5" t="str">
        <f>IF(A40="","",IFERROR(VLOOKUP(A40,PRODUTOS!A:C,3,FALSE),""))</f>
        <v/>
      </c>
      <c r="D40" s="5"/>
      <c r="E40" s="5" t="str">
        <f>IF(A40="","",IFERROR(SUMIFS('MOVIMENTAÇÕES'!D:D,'MOVIMENTAÇÕES'!C:C,A40,'MOVIMENTAÇÕES'!B:B,"Entrada"),""))</f>
        <v/>
      </c>
      <c r="F40" s="5" t="str">
        <f>IF(A40="","",IFERROR(SUMIFS('MOVIMENTAÇÕES'!D:D,'MOVIMENTAÇÕES'!C:C,A40,'MOVIMENTAÇÕES'!B:B,"Saída"),""))</f>
        <v/>
      </c>
      <c r="G40" s="5" t="str">
        <f t="shared" si="2"/>
        <v/>
      </c>
      <c r="H40" s="5" t="str">
        <f>IF(A40="","",VLOOKUP(A40,PRODUTOS!A:G,7,FALSE))</f>
        <v/>
      </c>
      <c r="I40" s="2" t="str">
        <f t="shared" si="1"/>
        <v/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 t="str">
        <f>IFERROR(FILTRO(PRODUTOS!A41:A1000,PRODUTOS!A41:A1000&lt;&gt;""),"")</f>
        <v/>
      </c>
      <c r="B41" s="5" t="str">
        <f>IF(A41="","",IFERROR(VLOOKUP(A41,PRODUTOS!A:B,2,FALSE),""))</f>
        <v/>
      </c>
      <c r="C41" s="5" t="str">
        <f>IF(A41="","",IFERROR(VLOOKUP(A41,PRODUTOS!A:C,3,FALSE),""))</f>
        <v/>
      </c>
      <c r="D41" s="5"/>
      <c r="E41" s="5" t="str">
        <f>IF(A41="","",IFERROR(SUMIFS('MOVIMENTAÇÕES'!D:D,'MOVIMENTAÇÕES'!C:C,A41,'MOVIMENTAÇÕES'!B:B,"Entrada"),""))</f>
        <v/>
      </c>
      <c r="F41" s="5" t="str">
        <f>IF(A41="","",IFERROR(SUMIFS('MOVIMENTAÇÕES'!D:D,'MOVIMENTAÇÕES'!C:C,A41,'MOVIMENTAÇÕES'!B:B,"Saída"),""))</f>
        <v/>
      </c>
      <c r="G41" s="5" t="str">
        <f t="shared" si="2"/>
        <v/>
      </c>
      <c r="H41" s="5" t="str">
        <f>IF(A41="","",VLOOKUP(A41,PRODUTOS!A:G,7,FALSE))</f>
        <v/>
      </c>
      <c r="I41" s="2" t="str">
        <f t="shared" si="1"/>
        <v/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 t="str">
        <f>IFERROR(FILTRO(PRODUTOS!A42:A1000,PRODUTOS!A42:A1000&lt;&gt;""),"")</f>
        <v/>
      </c>
      <c r="B42" s="5" t="str">
        <f>IF(A42="","",IFERROR(VLOOKUP(A42,PRODUTOS!A:B,2,FALSE),""))</f>
        <v/>
      </c>
      <c r="C42" s="5" t="str">
        <f>IF(A42="","",IFERROR(VLOOKUP(A42,PRODUTOS!A:C,3,FALSE),""))</f>
        <v/>
      </c>
      <c r="D42" s="5"/>
      <c r="E42" s="5" t="str">
        <f>IF(A42="","",IFERROR(SUMIFS('MOVIMENTAÇÕES'!D:D,'MOVIMENTAÇÕES'!C:C,A42,'MOVIMENTAÇÕES'!B:B,"Entrada"),""))</f>
        <v/>
      </c>
      <c r="F42" s="5" t="str">
        <f>IF(A42="","",IFERROR(SUMIFS('MOVIMENTAÇÕES'!D:D,'MOVIMENTAÇÕES'!C:C,A42,'MOVIMENTAÇÕES'!B:B,"Saída"),""))</f>
        <v/>
      </c>
      <c r="G42" s="5" t="str">
        <f t="shared" si="2"/>
        <v/>
      </c>
      <c r="H42" s="5" t="str">
        <f>IF(A42="","",VLOOKUP(A42,PRODUTOS!A:G,7,FALSE))</f>
        <v/>
      </c>
      <c r="I42" s="2" t="str">
        <f t="shared" si="1"/>
        <v/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 t="str">
        <f>IFERROR(FILTRO(PRODUTOS!A43:A1000,PRODUTOS!A43:A1000&lt;&gt;""),"")</f>
        <v/>
      </c>
      <c r="B43" s="5" t="str">
        <f>IF(A43="","",IFERROR(VLOOKUP(A43,PRODUTOS!A:B,2,FALSE),""))</f>
        <v/>
      </c>
      <c r="C43" s="5" t="str">
        <f>IF(A43="","",IFERROR(VLOOKUP(A43,PRODUTOS!A:C,3,FALSE),""))</f>
        <v/>
      </c>
      <c r="D43" s="5"/>
      <c r="E43" s="5" t="str">
        <f>IF(A43="","",IFERROR(SUMIFS('MOVIMENTAÇÕES'!D:D,'MOVIMENTAÇÕES'!C:C,A43,'MOVIMENTAÇÕES'!B:B,"Entrada"),""))</f>
        <v/>
      </c>
      <c r="F43" s="5" t="str">
        <f>IF(A43="","",IFERROR(SUMIFS('MOVIMENTAÇÕES'!D:D,'MOVIMENTAÇÕES'!C:C,A43,'MOVIMENTAÇÕES'!B:B,"Saída"),""))</f>
        <v/>
      </c>
      <c r="G43" s="5" t="str">
        <f t="shared" si="2"/>
        <v/>
      </c>
      <c r="H43" s="5" t="str">
        <f>IF(A43="","",VLOOKUP(A43,PRODUTOS!A:G,7,FALSE))</f>
        <v/>
      </c>
      <c r="I43" s="2" t="str">
        <f t="shared" si="1"/>
        <v/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 t="str">
        <f>IFERROR(FILTRO(PRODUTOS!A44:A1000,PRODUTOS!A44:A1000&lt;&gt;""),"")</f>
        <v/>
      </c>
      <c r="B44" s="5" t="str">
        <f>IF(A44="","",IFERROR(VLOOKUP(A44,PRODUTOS!A:B,2,FALSE),""))</f>
        <v/>
      </c>
      <c r="C44" s="5" t="str">
        <f>IF(A44="","",IFERROR(VLOOKUP(A44,PRODUTOS!A:C,3,FALSE),""))</f>
        <v/>
      </c>
      <c r="D44" s="5"/>
      <c r="E44" s="5" t="str">
        <f>IF(A44="","",IFERROR(SUMIFS('MOVIMENTAÇÕES'!D:D,'MOVIMENTAÇÕES'!C:C,A44,'MOVIMENTAÇÕES'!B:B,"Entrada"),""))</f>
        <v/>
      </c>
      <c r="F44" s="5" t="str">
        <f>IF(A44="","",IFERROR(SUMIFS('MOVIMENTAÇÕES'!D:D,'MOVIMENTAÇÕES'!C:C,A44,'MOVIMENTAÇÕES'!B:B,"Saída"),""))</f>
        <v/>
      </c>
      <c r="G44" s="5" t="str">
        <f t="shared" si="2"/>
        <v/>
      </c>
      <c r="H44" s="5" t="str">
        <f>IF(A44="","",VLOOKUP(A44,PRODUTOS!A:G,7,FALSE))</f>
        <v/>
      </c>
      <c r="I44" s="2" t="str">
        <f t="shared" si="1"/>
        <v/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 t="str">
        <f>IFERROR(FILTRO(PRODUTOS!A45:A1000,PRODUTOS!A45:A1000&lt;&gt;""),"")</f>
        <v/>
      </c>
      <c r="B45" s="5" t="str">
        <f>IF(A45="","",IFERROR(VLOOKUP(A45,PRODUTOS!A:B,2,FALSE),""))</f>
        <v/>
      </c>
      <c r="C45" s="5" t="str">
        <f>IF(A45="","",IFERROR(VLOOKUP(A45,PRODUTOS!A:C,3,FALSE),""))</f>
        <v/>
      </c>
      <c r="D45" s="5"/>
      <c r="E45" s="5" t="str">
        <f>IF(A45="","",IFERROR(SUMIFS('MOVIMENTAÇÕES'!D:D,'MOVIMENTAÇÕES'!C:C,A45,'MOVIMENTAÇÕES'!B:B,"Entrada"),""))</f>
        <v/>
      </c>
      <c r="F45" s="5"/>
      <c r="G45" s="5" t="str">
        <f t="shared" si="2"/>
        <v/>
      </c>
      <c r="H45" s="5" t="str">
        <f>IF(A45="","",VLOOKUP(A45,PRODUTOS!A:G,7,FALSE))</f>
        <v/>
      </c>
      <c r="I45" s="2" t="str">
        <f t="shared" si="1"/>
        <v/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 t="str">
        <f>IFERROR(FILTRO(PRODUTOS!A46:A1000,PRODUTOS!A46:A1000&lt;&gt;""),"")</f>
        <v/>
      </c>
      <c r="B46" s="5" t="str">
        <f>IF(A46="","",IFERROR(VLOOKUP(A46,PRODUTOS!A:B,2,FALSE),""))</f>
        <v/>
      </c>
      <c r="C46" s="5" t="str">
        <f>IF(A46="","",IFERROR(VLOOKUP(A46,PRODUTOS!A:C,3,FALSE),""))</f>
        <v/>
      </c>
      <c r="D46" s="5"/>
      <c r="E46" s="5" t="str">
        <f>IF(A46="","",IFERROR(SUMIFS('MOVIMENTAÇÕES'!D:D,'MOVIMENTAÇÕES'!C:C,A46,'MOVIMENTAÇÕES'!B:B,"Entrada"),""))</f>
        <v/>
      </c>
      <c r="F46" s="5"/>
      <c r="G46" s="5" t="str">
        <f t="shared" si="2"/>
        <v/>
      </c>
      <c r="H46" s="5" t="str">
        <f>IF(A46="","",VLOOKUP(A46,PRODUTOS!A:G,7,FALSE))</f>
        <v/>
      </c>
      <c r="I46" s="2" t="str">
        <f t="shared" si="1"/>
        <v/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 t="str">
        <f>IFERROR(FILTRO(PRODUTOS!A47:A1000,PRODUTOS!A47:A1000&lt;&gt;""),"")</f>
        <v/>
      </c>
      <c r="B47" s="5" t="str">
        <f>IF(A47="","",IFERROR(VLOOKUP(A47,PRODUTOS!A:B,2,FALSE),""))</f>
        <v/>
      </c>
      <c r="C47" s="5" t="str">
        <f>IF(A47="","",IFERROR(VLOOKUP(A47,PRODUTOS!A:C,3,FALSE),""))</f>
        <v/>
      </c>
      <c r="D47" s="5"/>
      <c r="E47" s="5" t="str">
        <f>IF(A47="","",IFERROR(SUMIFS('MOVIMENTAÇÕES'!D:D,'MOVIMENTAÇÕES'!C:C,A47,'MOVIMENTAÇÕES'!B:B,"Entrada"),""))</f>
        <v/>
      </c>
      <c r="F47" s="5"/>
      <c r="G47" s="5" t="str">
        <f t="shared" si="2"/>
        <v/>
      </c>
      <c r="H47" s="5" t="str">
        <f>IF(A47="","",VLOOKUP(A47,PRODUTOS!A:G,7,FALSE))</f>
        <v/>
      </c>
      <c r="I47" s="2" t="str">
        <f t="shared" si="1"/>
        <v/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 t="str">
        <f>IFERROR(FILTRO(PRODUTOS!A48:A1000,PRODUTOS!A48:A1000&lt;&gt;""),"")</f>
        <v/>
      </c>
      <c r="B48" s="5" t="str">
        <f>IF(A48="","",IFERROR(VLOOKUP(A48,PRODUTOS!A:B,2,FALSE),""))</f>
        <v/>
      </c>
      <c r="C48" s="5" t="str">
        <f>IF(A48="","",IFERROR(VLOOKUP(A48,PRODUTOS!A:C,3,FALSE),""))</f>
        <v/>
      </c>
      <c r="D48" s="5"/>
      <c r="E48" s="5" t="str">
        <f>IF(A48="","",IFERROR(SUMIFS('MOVIMENTAÇÕES'!D:D,'MOVIMENTAÇÕES'!C:C,A48,'MOVIMENTAÇÕES'!B:B,"Entrada"),""))</f>
        <v/>
      </c>
      <c r="F48" s="5"/>
      <c r="G48" s="5" t="str">
        <f t="shared" si="2"/>
        <v/>
      </c>
      <c r="H48" s="5" t="str">
        <f>IF(A48="","",VLOOKUP(A48,PRODUTOS!A:G,7,FALSE))</f>
        <v/>
      </c>
      <c r="I48" s="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 t="str">
        <f>IFERROR(FILTRO(PRODUTOS!A49:A1000,PRODUTOS!A49:A1000&lt;&gt;""),"")</f>
        <v/>
      </c>
      <c r="B49" s="5" t="str">
        <f>IF(A49="","",IFERROR(VLOOKUP(A49,PRODUTOS!A:B,2,FALSE),""))</f>
        <v/>
      </c>
      <c r="C49" s="5" t="str">
        <f>IF(A49="","",IFERROR(VLOOKUP(A49,PRODUTOS!A:C,3,FALSE),""))</f>
        <v/>
      </c>
      <c r="D49" s="5"/>
      <c r="E49" s="5" t="str">
        <f>IF(A49="","",IFERROR(SUMIFS('MOVIMENTAÇÕES'!D:D,'MOVIMENTAÇÕES'!C:C,A49,'MOVIMENTAÇÕES'!B:B,"Entrada"),""))</f>
        <v/>
      </c>
      <c r="F49" s="5"/>
      <c r="G49" s="5" t="str">
        <f t="shared" si="2"/>
        <v/>
      </c>
      <c r="H49" s="5" t="str">
        <f>IF(A49="","",VLOOKUP(A49,PRODUTOS!A:G,7,FALSE))</f>
        <v/>
      </c>
      <c r="I49" s="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 t="str">
        <f>IFERROR(FILTRO(PRODUTOS!A50:A1000,PRODUTOS!A50:A1000&lt;&gt;""),"")</f>
        <v/>
      </c>
      <c r="B50" s="5" t="str">
        <f>IF(A50="","",IFERROR(VLOOKUP(A50,PRODUTOS!A:B,2,FALSE),""))</f>
        <v/>
      </c>
      <c r="C50" s="5" t="str">
        <f>IF(A50="","",IFERROR(VLOOKUP(A50,PRODUTOS!A:C,3,FALSE),""))</f>
        <v/>
      </c>
      <c r="D50" s="5"/>
      <c r="E50" s="5" t="str">
        <f>IF(A50="","",IFERROR(SUMIFS('MOVIMENTAÇÕES'!D:D,'MOVIMENTAÇÕES'!C:C,A50,'MOVIMENTAÇÕES'!B:B,"Entrada"),""))</f>
        <v/>
      </c>
      <c r="F50" s="5"/>
      <c r="G50" s="5" t="str">
        <f t="shared" si="2"/>
        <v/>
      </c>
      <c r="H50" s="5" t="str">
        <f>IF(A50="","",VLOOKUP(A50,PRODUTOS!A:G,7,FALSE))</f>
        <v/>
      </c>
      <c r="I50" s="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 t="str">
        <f>IFERROR(FILTRO(PRODUTOS!A51:A1000,PRODUTOS!A51:A1000&lt;&gt;""),"")</f>
        <v/>
      </c>
      <c r="B51" s="5" t="str">
        <f>IF(A51="","",IFERROR(VLOOKUP(A51,PRODUTOS!A:B,2,FALSE),""))</f>
        <v/>
      </c>
      <c r="C51" s="5" t="str">
        <f>IF(A51="","",IFERROR(VLOOKUP(A51,PRODUTOS!A:C,3,FALSE),""))</f>
        <v/>
      </c>
      <c r="D51" s="5"/>
      <c r="E51" s="5" t="str">
        <f>IF(A51="","",IFERROR(SUMIFS('MOVIMENTAÇÕES'!D:D,'MOVIMENTAÇÕES'!C:C,A51,'MOVIMENTAÇÕES'!B:B,"Entrada"),""))</f>
        <v/>
      </c>
      <c r="F51" s="5"/>
      <c r="G51" s="5" t="str">
        <f t="shared" si="2"/>
        <v/>
      </c>
      <c r="H51" s="5" t="str">
        <f>IF(A51="","",VLOOKUP(A51,PRODUTOS!A:G,7,FALSE))</f>
        <v/>
      </c>
      <c r="I51" s="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 t="str">
        <f>IFERROR(FILTRO(PRODUTOS!A52:A1000,PRODUTOS!A52:A1000&lt;&gt;""),"")</f>
        <v/>
      </c>
      <c r="B52" s="5" t="str">
        <f>IF(A52="","",IFERROR(VLOOKUP(A52,PRODUTOS!A:B,2,FALSE),""))</f>
        <v/>
      </c>
      <c r="C52" s="5" t="str">
        <f>IF(A52="","",IFERROR(VLOOKUP(A52,PRODUTOS!A:C,3,FALSE),""))</f>
        <v/>
      </c>
      <c r="D52" s="5"/>
      <c r="E52" s="5" t="str">
        <f>IF(A52="","",IFERROR(SUMIFS('MOVIMENTAÇÕES'!D:D,'MOVIMENTAÇÕES'!C:C,A52,'MOVIMENTAÇÕES'!B:B,"Entrada"),""))</f>
        <v/>
      </c>
      <c r="F52" s="5"/>
      <c r="G52" s="5" t="str">
        <f t="shared" si="2"/>
        <v/>
      </c>
      <c r="H52" s="5" t="str">
        <f>IF(A52="","",VLOOKUP(A52,PRODUTOS!A:G,7,FALSE))</f>
        <v/>
      </c>
      <c r="I52" s="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 t="str">
        <f>IFERROR(FILTRO(PRODUTOS!A53:A1000,PRODUTOS!A53:A1000&lt;&gt;""),"")</f>
        <v/>
      </c>
      <c r="B53" s="5" t="str">
        <f>IF(A53="","",IFERROR(VLOOKUP(A53,PRODUTOS!A:B,2,FALSE),""))</f>
        <v/>
      </c>
      <c r="C53" s="5" t="str">
        <f>IF(A53="","",IFERROR(VLOOKUP(A53,PRODUTOS!A:C,3,FALSE),""))</f>
        <v/>
      </c>
      <c r="D53" s="5"/>
      <c r="E53" s="5" t="str">
        <f>IF(A53="","",IFERROR(SUMIFS('MOVIMENTAÇÕES'!D:D,'MOVIMENTAÇÕES'!C:C,A53,'MOVIMENTAÇÕES'!B:B,"Entrada"),""))</f>
        <v/>
      </c>
      <c r="F53" s="5"/>
      <c r="G53" s="5" t="str">
        <f t="shared" si="2"/>
        <v/>
      </c>
      <c r="H53" s="5" t="str">
        <f>IF(A53="","",VLOOKUP(A53,PRODUTOS!A:G,7,FALSE))</f>
        <v/>
      </c>
      <c r="I53" s="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 t="str">
        <f>IFERROR(FILTRO(PRODUTOS!A54:A1000,PRODUTOS!A54:A1000&lt;&gt;""),"")</f>
        <v/>
      </c>
      <c r="B54" s="5" t="str">
        <f>IF(A54="","",IFERROR(VLOOKUP(A54,PRODUTOS!A:B,2,FALSE),""))</f>
        <v/>
      </c>
      <c r="C54" s="5" t="str">
        <f>IF(A54="","",IFERROR(VLOOKUP(A54,PRODUTOS!A:C,3,FALSE),""))</f>
        <v/>
      </c>
      <c r="D54" s="5"/>
      <c r="E54" s="5" t="str">
        <f>IF(A54="","",IFERROR(SUMIFS('MOVIMENTAÇÕES'!D:D,'MOVIMENTAÇÕES'!C:C,A54,'MOVIMENTAÇÕES'!B:B,"Entrada"),""))</f>
        <v/>
      </c>
      <c r="F54" s="5"/>
      <c r="G54" s="5"/>
      <c r="H54" s="5" t="str">
        <f>IF(A54="","",VLOOKUP(A54,PRODUTOS!A:G,7,FALSE))</f>
        <v/>
      </c>
      <c r="I54" s="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 t="str">
        <f>IFERROR(FILTRO(PRODUTOS!A55:A1000,PRODUTOS!A55:A1000&lt;&gt;""),"")</f>
        <v/>
      </c>
      <c r="B55" s="5" t="str">
        <f>IF(A55="","",IFERROR(VLOOKUP(A55,PRODUTOS!A:B,2,FALSE),""))</f>
        <v/>
      </c>
      <c r="C55" s="5" t="str">
        <f>IF(A55="","",IFERROR(VLOOKUP(A55,PRODUTOS!A:C,3,FALSE),""))</f>
        <v/>
      </c>
      <c r="D55" s="5"/>
      <c r="E55" s="5" t="str">
        <f>IF(A55="","",IFERROR(SUMIFS('MOVIMENTAÇÕES'!D:D,'MOVIMENTAÇÕES'!C:C,A55,'MOVIMENTAÇÕES'!B:B,"Entrada"),""))</f>
        <v/>
      </c>
      <c r="F55" s="5"/>
      <c r="G55" s="5"/>
      <c r="H55" s="5" t="str">
        <f>IF(A55="","",VLOOKUP(A55,PRODUTOS!A:G,7,FALSE))</f>
        <v/>
      </c>
      <c r="I55" s="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 t="str">
        <f>IFERROR(FILTRO(PRODUTOS!A56:A1000,PRODUTOS!A56:A1000&lt;&gt;""),"")</f>
        <v/>
      </c>
      <c r="B56" s="5" t="str">
        <f>IF(A56="","",IFERROR(VLOOKUP(A56,PRODUTOS!A:B,2,FALSE),""))</f>
        <v/>
      </c>
      <c r="C56" s="5" t="str">
        <f>IF(A56="","",IFERROR(VLOOKUP(A56,PRODUTOS!A:C,3,FALSE),""))</f>
        <v/>
      </c>
      <c r="D56" s="5"/>
      <c r="E56" s="5" t="str">
        <f>IF(A56="","",IFERROR(SUMIFS('MOVIMENTAÇÕES'!D:D,'MOVIMENTAÇÕES'!C:C,A56,'MOVIMENTAÇÕES'!B:B,"Entrada"),""))</f>
        <v/>
      </c>
      <c r="F56" s="5"/>
      <c r="G56" s="5"/>
      <c r="H56" s="5" t="str">
        <f>IF(A56="","",VLOOKUP(A56,PRODUTOS!A:G,7,FALSE))</f>
        <v/>
      </c>
      <c r="I56" s="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 t="str">
        <f>IFERROR(FILTRO(PRODUTOS!A57:A1000,PRODUTOS!A57:A1000&lt;&gt;""),"")</f>
        <v/>
      </c>
      <c r="B57" s="5" t="str">
        <f>IF(A57="","",IFERROR(VLOOKUP(A57,PRODUTOS!A:B,2,FALSE),""))</f>
        <v/>
      </c>
      <c r="C57" s="5" t="str">
        <f>IF(A57="","",IFERROR(VLOOKUP(A57,PRODUTOS!A:C,3,FALSE),""))</f>
        <v/>
      </c>
      <c r="D57" s="5"/>
      <c r="E57" s="5"/>
      <c r="F57" s="5"/>
      <c r="G57" s="5"/>
      <c r="H57" s="5"/>
      <c r="I57" s="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 t="str">
        <f>IFERROR(FILTRO(PRODUTOS!A58:A1000,PRODUTOS!A58:A1000&lt;&gt;""),"")</f>
        <v/>
      </c>
      <c r="B58" s="5" t="str">
        <f>IF(A58="","",IFERROR(VLOOKUP(A58,PRODUTOS!A:B,2,FALSE),""))</f>
        <v/>
      </c>
      <c r="C58" s="5" t="str">
        <f>IF(A58="","",IFERROR(VLOOKUP(A58,PRODUTOS!A:C,3,FALSE),""))</f>
        <v/>
      </c>
      <c r="D58" s="5"/>
      <c r="E58" s="5"/>
      <c r="F58" s="5"/>
      <c r="G58" s="5"/>
      <c r="H58" s="5"/>
      <c r="I58" s="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 t="str">
        <f>IFERROR(FILTRO(PRODUTOS!A59:A1000,PRODUTOS!A59:A1000&lt;&gt;""),"")</f>
        <v/>
      </c>
      <c r="B59" s="5" t="str">
        <f>IF(A59="","",IFERROR(VLOOKUP(A59,PRODUTOS!A:B,2,FALSE),""))</f>
        <v/>
      </c>
      <c r="C59" s="5" t="str">
        <f>IF(A59="","",IFERROR(VLOOKUP(A59,PRODUTOS!A:C,3,FALSE),""))</f>
        <v/>
      </c>
      <c r="D59" s="5"/>
      <c r="E59" s="5"/>
      <c r="F59" s="5"/>
      <c r="G59" s="5"/>
      <c r="H59" s="5"/>
      <c r="I59" s="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 t="str">
        <f>IFERROR(FILTRO(PRODUTOS!A60:A1000,PRODUTOS!A60:A1000&lt;&gt;""),"")</f>
        <v/>
      </c>
      <c r="B60" s="5" t="str">
        <f>IF(A60="","",IFERROR(VLOOKUP(A60,PRODUTOS!A:B,2,FALSE),""))</f>
        <v/>
      </c>
      <c r="C60" s="5" t="str">
        <f>IF(A60="","",IFERROR(VLOOKUP(A60,PRODUTOS!A:C,3,FALSE),""))</f>
        <v/>
      </c>
      <c r="D60" s="5"/>
      <c r="E60" s="5"/>
      <c r="F60" s="5"/>
      <c r="G60" s="5"/>
      <c r="H60" s="5"/>
      <c r="I60" s="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 t="str">
        <f>IFERROR(FILTRO(PRODUTOS!A61:A1000,PRODUTOS!A61:A1000&lt;&gt;""),"")</f>
        <v/>
      </c>
      <c r="B61" s="5" t="str">
        <f>IF(A61="","",IFERROR(VLOOKUP(A61,PRODUTOS!A:B,2,FALSE),""))</f>
        <v/>
      </c>
      <c r="C61" s="5" t="str">
        <f>IF(A61="","",IFERROR(VLOOKUP(A61,PRODUTOS!A:C,3,FALSE),""))</f>
        <v/>
      </c>
      <c r="D61" s="5"/>
      <c r="E61" s="5"/>
      <c r="F61" s="5"/>
      <c r="G61" s="5"/>
      <c r="H61" s="5"/>
      <c r="I61" s="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 t="str">
        <f>IFERROR(FILTRO(PRODUTOS!A62:A1000,PRODUTOS!A62:A1000&lt;&gt;""),"")</f>
        <v/>
      </c>
      <c r="B62" s="5" t="str">
        <f>IF(A62="","",IFERROR(VLOOKUP(A62,PRODUTOS!A:B,2,FALSE),""))</f>
        <v/>
      </c>
      <c r="C62" s="5" t="str">
        <f>IF(A62="","",IFERROR(VLOOKUP(A62,PRODUTOS!A:C,3,FALSE),""))</f>
        <v/>
      </c>
      <c r="D62" s="5"/>
      <c r="E62" s="5"/>
      <c r="F62" s="5"/>
      <c r="G62" s="5"/>
      <c r="H62" s="5"/>
      <c r="I62" s="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 t="str">
        <f>IFERROR(FILTRO(PRODUTOS!A63:A1000,PRODUTOS!A63:A1000&lt;&gt;""),"")</f>
        <v/>
      </c>
      <c r="B63" s="5" t="str">
        <f>IF(A63="","",IFERROR(VLOOKUP(A63,PRODUTOS!A:B,2,FALSE),""))</f>
        <v/>
      </c>
      <c r="C63" s="5" t="str">
        <f>IF(A63="","",IFERROR(VLOOKUP(A63,PRODUTOS!A:C,3,FALSE),""))</f>
        <v/>
      </c>
      <c r="D63" s="5"/>
      <c r="E63" s="5"/>
      <c r="F63" s="5"/>
      <c r="G63" s="5"/>
      <c r="H63" s="5"/>
      <c r="I63" s="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 t="str">
        <f>IFERROR(FILTRO(PRODUTOS!A64:A1000,PRODUTOS!A64:A1000&lt;&gt;""),"")</f>
        <v/>
      </c>
      <c r="B64" s="5" t="str">
        <f>IF(A64="","",IFERROR(VLOOKUP(A64,PRODUTOS!A:B,2,FALSE),""))</f>
        <v/>
      </c>
      <c r="C64" s="5" t="str">
        <f>IF(A64="","",IFERROR(VLOOKUP(A64,PRODUTOS!A:C,3,FALSE),""))</f>
        <v/>
      </c>
      <c r="D64" s="5"/>
      <c r="E64" s="5"/>
      <c r="F64" s="5"/>
      <c r="G64" s="5"/>
      <c r="H64" s="5"/>
      <c r="I64" s="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 t="str">
        <f>IFERROR(FILTRO(PRODUTOS!A65:A1000,PRODUTOS!A65:A1000&lt;&gt;""),"")</f>
        <v/>
      </c>
      <c r="B65" s="5" t="str">
        <f>IF(A65="","",IFERROR(VLOOKUP(A65,PRODUTOS!A:B,2,FALSE),""))</f>
        <v/>
      </c>
      <c r="C65" s="5" t="str">
        <f>IF(A65="","",IFERROR(VLOOKUP(A65,PRODUTOS!A:C,3,FALSE),""))</f>
        <v/>
      </c>
      <c r="D65" s="5"/>
      <c r="E65" s="5"/>
      <c r="F65" s="5"/>
      <c r="G65" s="5"/>
      <c r="H65" s="5"/>
      <c r="I65" s="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 t="str">
        <f>IFERROR(FILTRO(PRODUTOS!A66:A1000,PRODUTOS!A66:A1000&lt;&gt;""),"")</f>
        <v/>
      </c>
      <c r="B66" s="5" t="str">
        <f>IF(A66="","",IFERROR(VLOOKUP(A66,PRODUTOS!A:B,2,FALSE),""))</f>
        <v/>
      </c>
      <c r="C66" s="5" t="str">
        <f>IF(A66="","",IFERROR(VLOOKUP(A66,PRODUTOS!A:C,3,FALSE),""))</f>
        <v/>
      </c>
      <c r="D66" s="5"/>
      <c r="E66" s="5"/>
      <c r="F66" s="5"/>
      <c r="G66" s="5"/>
      <c r="H66" s="5"/>
      <c r="I66" s="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 t="str">
        <f>IFERROR(FILTRO(PRODUTOS!A67:A1000,PRODUTOS!A67:A1000&lt;&gt;""),"")</f>
        <v/>
      </c>
      <c r="B67" s="5" t="str">
        <f>IF(A67="","",IFERROR(VLOOKUP(A67,PRODUTOS!A:B,2,FALSE),""))</f>
        <v/>
      </c>
      <c r="C67" s="5" t="str">
        <f>IF(A67="","",IFERROR(VLOOKUP(A67,PRODUTOS!A:C,3,FALSE),""))</f>
        <v/>
      </c>
      <c r="D67" s="5"/>
      <c r="E67" s="5"/>
      <c r="F67" s="5"/>
      <c r="G67" s="5"/>
      <c r="H67" s="5"/>
      <c r="I67" s="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 t="str">
        <f>IFERROR(FILTRO(PRODUTOS!A68:A1000,PRODUTOS!A68:A1000&lt;&gt;""),"")</f>
        <v/>
      </c>
      <c r="B68" s="5" t="str">
        <f>IF(A68="","",IFERROR(VLOOKUP(A68,PRODUTOS!A:B,2,FALSE),""))</f>
        <v/>
      </c>
      <c r="C68" s="5" t="str">
        <f>IF(A68="","",IFERROR(VLOOKUP(A68,PRODUTOS!A:C,3,FALSE),""))</f>
        <v/>
      </c>
      <c r="D68" s="5"/>
      <c r="E68" s="5"/>
      <c r="F68" s="5"/>
      <c r="G68" s="5"/>
      <c r="H68" s="5"/>
      <c r="I68" s="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 t="str">
        <f>IFERROR(FILTRO(PRODUTOS!A69:A1000,PRODUTOS!A69:A1000&lt;&gt;""),"")</f>
        <v/>
      </c>
      <c r="B69" s="5" t="str">
        <f>IF(A69="","",IFERROR(VLOOKUP(A69,PRODUTOS!A:B,2,FALSE),""))</f>
        <v/>
      </c>
      <c r="C69" s="5" t="str">
        <f>IF(A69="","",IFERROR(VLOOKUP(A69,PRODUTOS!A:C,3,FALSE),""))</f>
        <v/>
      </c>
      <c r="D69" s="5"/>
      <c r="E69" s="5"/>
      <c r="F69" s="5"/>
      <c r="G69" s="5"/>
      <c r="H69" s="5"/>
      <c r="I69" s="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 t="str">
        <f>IFERROR(FILTRO(PRODUTOS!A70:A1000,PRODUTOS!A70:A1000&lt;&gt;""),"")</f>
        <v/>
      </c>
      <c r="B70" s="5" t="str">
        <f>IF(A70="","",IFERROR(VLOOKUP(A70,PRODUTOS!A:B,2,FALSE),""))</f>
        <v/>
      </c>
      <c r="C70" s="5" t="str">
        <f>IF(A70="","",IFERROR(VLOOKUP(A70,PRODUTOS!A:C,3,FALSE),""))</f>
        <v/>
      </c>
      <c r="D70" s="5"/>
      <c r="E70" s="5"/>
      <c r="F70" s="5"/>
      <c r="G70" s="5"/>
      <c r="H70" s="5"/>
      <c r="I70" s="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 t="str">
        <f>IFERROR(FILTRO(PRODUTOS!A71:A1000,PRODUTOS!A71:A1000&lt;&gt;""),"")</f>
        <v/>
      </c>
      <c r="B71" s="5" t="str">
        <f>IF(A71="","",IFERROR(VLOOKUP(A71,PRODUTOS!A:B,2,FALSE),""))</f>
        <v/>
      </c>
      <c r="C71" s="5" t="str">
        <f>IF(A71="","",IFERROR(VLOOKUP(A71,PRODUTOS!A:C,3,FALSE),""))</f>
        <v/>
      </c>
      <c r="D71" s="5"/>
      <c r="E71" s="5"/>
      <c r="F71" s="5"/>
      <c r="G71" s="5"/>
      <c r="H71" s="5"/>
      <c r="I71" s="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 t="str">
        <f>IFERROR(FILTRO(PRODUTOS!A72:A1000,PRODUTOS!A72:A1000&lt;&gt;""),"")</f>
        <v/>
      </c>
      <c r="B72" s="5" t="str">
        <f>IF(A72="","",IFERROR(VLOOKUP(A72,PRODUTOS!A:B,2,FALSE),""))</f>
        <v/>
      </c>
      <c r="C72" s="5" t="str">
        <f>IF(A72="","",IFERROR(VLOOKUP(A72,PRODUTOS!A:C,3,FALSE),""))</f>
        <v/>
      </c>
      <c r="D72" s="5"/>
      <c r="E72" s="5"/>
      <c r="F72" s="5"/>
      <c r="G72" s="5"/>
      <c r="H72" s="5"/>
      <c r="I72" s="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 t="str">
        <f>IFERROR(FILTRO(PRODUTOS!A73:A1000,PRODUTOS!A73:A1000&lt;&gt;""),"")</f>
        <v/>
      </c>
      <c r="B73" s="5" t="str">
        <f>IF(A73="","",IFERROR(VLOOKUP(A73,PRODUTOS!A:B,2,FALSE),""))</f>
        <v/>
      </c>
      <c r="C73" s="5" t="str">
        <f>IF(A73="","",IFERROR(VLOOKUP(A73,PRODUTOS!A:C,3,FALSE),""))</f>
        <v/>
      </c>
      <c r="D73" s="5"/>
      <c r="E73" s="5"/>
      <c r="F73" s="5"/>
      <c r="G73" s="5"/>
      <c r="H73" s="5"/>
      <c r="I73" s="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 t="str">
        <f>IFERROR(FILTRO(PRODUTOS!A74:A1000,PRODUTOS!A74:A1000&lt;&gt;""),"")</f>
        <v/>
      </c>
      <c r="B74" s="5" t="str">
        <f>IF(A74="","",IFERROR(VLOOKUP(A74,PRODUTOS!A:B,2,FALSE),""))</f>
        <v/>
      </c>
      <c r="C74" s="5" t="str">
        <f>IF(A74="","",IFERROR(VLOOKUP(A74,PRODUTOS!A:C,3,FALSE),""))</f>
        <v/>
      </c>
      <c r="D74" s="5"/>
      <c r="E74" s="5"/>
      <c r="F74" s="5"/>
      <c r="G74" s="5"/>
      <c r="H74" s="5"/>
      <c r="I74" s="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 t="str">
        <f>IFERROR(FILTRO(PRODUTOS!A75:A1000,PRODUTOS!A75:A1000&lt;&gt;""),"")</f>
        <v/>
      </c>
      <c r="B75" s="5" t="str">
        <f>IF(A75="","",IFERROR(VLOOKUP(A75,PRODUTOS!A:B,2,FALSE),""))</f>
        <v/>
      </c>
      <c r="C75" s="5" t="str">
        <f>IF(A75="","",IFERROR(VLOOKUP(A75,PRODUTOS!A:C,3,FALSE),""))</f>
        <v/>
      </c>
      <c r="D75" s="5"/>
      <c r="E75" s="5"/>
      <c r="F75" s="5"/>
      <c r="G75" s="5"/>
      <c r="H75" s="5"/>
      <c r="I75" s="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 t="str">
        <f>IFERROR(FILTRO(PRODUTOS!A76:A1000,PRODUTOS!A76:A1000&lt;&gt;""),"")</f>
        <v/>
      </c>
      <c r="B76" s="5" t="str">
        <f>IF(A76="","",IFERROR(VLOOKUP(A76,PRODUTOS!A:B,2,FALSE),""))</f>
        <v/>
      </c>
      <c r="C76" s="5" t="str">
        <f>IF(A76="","",IFERROR(VLOOKUP(A76,PRODUTOS!A:C,3,FALSE),""))</f>
        <v/>
      </c>
      <c r="D76" s="5"/>
      <c r="E76" s="5"/>
      <c r="F76" s="5"/>
      <c r="G76" s="5"/>
      <c r="H76" s="5"/>
      <c r="I76" s="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 t="str">
        <f>IFERROR(FILTRO(PRODUTOS!A77:A1000,PRODUTOS!A77:A1000&lt;&gt;""),"")</f>
        <v/>
      </c>
      <c r="B77" s="5" t="str">
        <f>IF(A77="","",IFERROR(VLOOKUP(A77,PRODUTOS!A:B,2,FALSE),""))</f>
        <v/>
      </c>
      <c r="C77" s="5" t="str">
        <f>IF(A77="","",IFERROR(VLOOKUP(A77,PRODUTOS!A:C,3,FALSE),""))</f>
        <v/>
      </c>
      <c r="D77" s="5"/>
      <c r="E77" s="5"/>
      <c r="F77" s="5"/>
      <c r="G77" s="5"/>
      <c r="H77" s="5"/>
      <c r="I77" s="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 t="str">
        <f>IFERROR(FILTRO(PRODUTOS!A78:A1000,PRODUTOS!A78:A1000&lt;&gt;""),"")</f>
        <v/>
      </c>
      <c r="B78" s="5" t="str">
        <f>IF(A78="","",IFERROR(VLOOKUP(A78,PRODUTOS!A:B,2,FALSE),""))</f>
        <v/>
      </c>
      <c r="C78" s="5" t="str">
        <f>IF(A78="","",IFERROR(VLOOKUP(A78,PRODUTOS!A:C,3,FALSE),""))</f>
        <v/>
      </c>
      <c r="D78" s="5"/>
      <c r="E78" s="5"/>
      <c r="F78" s="5"/>
      <c r="G78" s="5"/>
      <c r="H78" s="5"/>
      <c r="I78" s="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 t="str">
        <f>IFERROR(FILTRO(PRODUTOS!A79:A1000,PRODUTOS!A79:A1000&lt;&gt;""),"")</f>
        <v/>
      </c>
      <c r="B79" s="5" t="str">
        <f>IF(A79="","",IFERROR(VLOOKUP(A79,PRODUTOS!A:B,2,FALSE),""))</f>
        <v/>
      </c>
      <c r="C79" s="5" t="str">
        <f>IF(A79="","",IFERROR(VLOOKUP(A79,PRODUTOS!A:C,3,FALSE),""))</f>
        <v/>
      </c>
      <c r="D79" s="5"/>
      <c r="E79" s="5"/>
      <c r="F79" s="5"/>
      <c r="G79" s="5"/>
      <c r="H79" s="5"/>
      <c r="I79" s="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 t="str">
        <f>IFERROR(FILTRO(PRODUTOS!A80:A1000,PRODUTOS!A80:A1000&lt;&gt;""),"")</f>
        <v/>
      </c>
      <c r="B80" s="5" t="str">
        <f>IF(A80="","",IFERROR(VLOOKUP(A80,PRODUTOS!A:B,2,FALSE),""))</f>
        <v/>
      </c>
      <c r="C80" s="5" t="str">
        <f>IF(A80="","",IFERROR(VLOOKUP(A80,PRODUTOS!A:C,3,FALSE),""))</f>
        <v/>
      </c>
      <c r="D80" s="5"/>
      <c r="E80" s="5"/>
      <c r="F80" s="5"/>
      <c r="G80" s="5"/>
      <c r="H80" s="5"/>
      <c r="I80" s="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 t="str">
        <f>IFERROR(FILTRO(PRODUTOS!A81:A1000,PRODUTOS!A81:A1000&lt;&gt;""),"")</f>
        <v/>
      </c>
      <c r="B81" s="5" t="str">
        <f>IF(A81="","",IFERROR(VLOOKUP(A81,PRODUTOS!A:B,2,FALSE),""))</f>
        <v/>
      </c>
      <c r="C81" s="5" t="str">
        <f>IF(A81="","",IFERROR(VLOOKUP(A81,PRODUTOS!A:C,3,FALSE),""))</f>
        <v/>
      </c>
      <c r="D81" s="5"/>
      <c r="E81" s="5"/>
      <c r="F81" s="5"/>
      <c r="G81" s="5"/>
      <c r="H81" s="5"/>
      <c r="I81" s="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 t="str">
        <f>IFERROR(FILTRO(PRODUTOS!A82:A1000,PRODUTOS!A82:A1000&lt;&gt;""),"")</f>
        <v/>
      </c>
      <c r="B82" s="5" t="str">
        <f>IF(A82="","",IFERROR(VLOOKUP(A82,PRODUTOS!A:B,2,FALSE),""))</f>
        <v/>
      </c>
      <c r="C82" s="5" t="str">
        <f>IF(A82="","",IFERROR(VLOOKUP(A82,PRODUTOS!A:C,3,FALSE),""))</f>
        <v/>
      </c>
      <c r="D82" s="5"/>
      <c r="E82" s="5"/>
      <c r="F82" s="5"/>
      <c r="G82" s="5"/>
      <c r="H82" s="5"/>
      <c r="I82" s="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 t="str">
        <f>IFERROR(FILTRO(PRODUTOS!A83:A1000,PRODUTOS!A83:A1000&lt;&gt;""),"")</f>
        <v/>
      </c>
      <c r="B83" s="5" t="str">
        <f>IF(A83="","",IFERROR(VLOOKUP(A83,PRODUTOS!A:B,2,FALSE),""))</f>
        <v/>
      </c>
      <c r="C83" s="5" t="str">
        <f>IF(A83="","",IFERROR(VLOOKUP(A83,PRODUTOS!A:C,3,FALSE),""))</f>
        <v/>
      </c>
      <c r="D83" s="5"/>
      <c r="E83" s="5"/>
      <c r="F83" s="5"/>
      <c r="G83" s="5"/>
      <c r="H83" s="5"/>
      <c r="I83" s="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 t="str">
        <f>IFERROR(FILTRO(PRODUTOS!A84:A1000,PRODUTOS!A84:A1000&lt;&gt;""),"")</f>
        <v/>
      </c>
      <c r="B84" s="5" t="str">
        <f>IF(A84="","",IFERROR(VLOOKUP(A84,PRODUTOS!A:B,2,FALSE),""))</f>
        <v/>
      </c>
      <c r="C84" s="5" t="str">
        <f>IF(A84="","",IFERROR(VLOOKUP(A84,PRODUTOS!A:C,3,FALSE),""))</f>
        <v/>
      </c>
      <c r="D84" s="5"/>
      <c r="E84" s="5"/>
      <c r="F84" s="5"/>
      <c r="G84" s="5"/>
      <c r="H84" s="5"/>
      <c r="I84" s="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 t="str">
        <f>IFERROR(FILTRO(PRODUTOS!A85:A1000,PRODUTOS!A85:A1000&lt;&gt;""),"")</f>
        <v/>
      </c>
      <c r="B85" s="5" t="str">
        <f>IF(A85="","",IFERROR(VLOOKUP(A85,PRODUTOS!A:B,2,FALSE),""))</f>
        <v/>
      </c>
      <c r="C85" s="5" t="str">
        <f>IF(A85="","",IFERROR(VLOOKUP(A85,PRODUTOS!A:C,3,FALSE),""))</f>
        <v/>
      </c>
      <c r="D85" s="5"/>
      <c r="E85" s="5"/>
      <c r="F85" s="5"/>
      <c r="G85" s="5"/>
      <c r="H85" s="5"/>
      <c r="I85" s="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 t="str">
        <f>IFERROR(FILTRO(PRODUTOS!A86:A1000,PRODUTOS!A86:A1000&lt;&gt;""),"")</f>
        <v/>
      </c>
      <c r="B86" s="5" t="str">
        <f>IF(A86="","",IFERROR(VLOOKUP(A86,PRODUTOS!A:B,2,FALSE),""))</f>
        <v/>
      </c>
      <c r="C86" s="5" t="str">
        <f>IF(A86="","",IFERROR(VLOOKUP(A86,PRODUTOS!A:C,3,FALSE),""))</f>
        <v/>
      </c>
      <c r="D86" s="5"/>
      <c r="E86" s="5"/>
      <c r="F86" s="5"/>
      <c r="G86" s="5"/>
      <c r="H86" s="5"/>
      <c r="I86" s="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 t="str">
        <f>IFERROR(FILTRO(PRODUTOS!A87:A1000,PRODUTOS!A87:A1000&lt;&gt;""),"")</f>
        <v/>
      </c>
      <c r="B87" s="5" t="str">
        <f>IF(A87="","",IFERROR(VLOOKUP(A87,PRODUTOS!A:B,2,FALSE),""))</f>
        <v/>
      </c>
      <c r="C87" s="5" t="str">
        <f>IF(A87="","",IFERROR(VLOOKUP(A87,PRODUTOS!A:C,3,FALSE),""))</f>
        <v/>
      </c>
      <c r="D87" s="5"/>
      <c r="E87" s="5"/>
      <c r="F87" s="5"/>
      <c r="G87" s="5"/>
      <c r="H87" s="5"/>
      <c r="I87" s="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 t="str">
        <f>IFERROR(FILTRO(PRODUTOS!A88:A1000,PRODUTOS!A88:A1000&lt;&gt;""),"")</f>
        <v/>
      </c>
      <c r="B88" s="5" t="str">
        <f>IF(A88="","",IFERROR(VLOOKUP(A88,PRODUTOS!A:B,2,FALSE),""))</f>
        <v/>
      </c>
      <c r="C88" s="5" t="str">
        <f>IF(A88="","",IFERROR(VLOOKUP(A88,PRODUTOS!A:C,3,FALSE),""))</f>
        <v/>
      </c>
      <c r="D88" s="5"/>
      <c r="E88" s="5"/>
      <c r="F88" s="5"/>
      <c r="G88" s="5"/>
      <c r="H88" s="5"/>
      <c r="I88" s="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 t="str">
        <f>IFERROR(FILTRO(PRODUTOS!A89:A1000,PRODUTOS!A89:A1000&lt;&gt;""),"")</f>
        <v/>
      </c>
      <c r="B89" s="5" t="str">
        <f>IF(A89="","",IFERROR(VLOOKUP(A89,PRODUTOS!A:B,2,FALSE),""))</f>
        <v/>
      </c>
      <c r="C89" s="5" t="str">
        <f>IF(A89="","",IFERROR(VLOOKUP(A89,PRODUTOS!A:C,3,FALSE),""))</f>
        <v/>
      </c>
      <c r="D89" s="5"/>
      <c r="E89" s="5"/>
      <c r="F89" s="5"/>
      <c r="G89" s="5"/>
      <c r="H89" s="5"/>
      <c r="I89" s="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 t="str">
        <f>IFERROR(FILTRO(PRODUTOS!A90:A1000,PRODUTOS!A90:A1000&lt;&gt;""),"")</f>
        <v/>
      </c>
      <c r="B90" s="5" t="str">
        <f>IF(A90="","",IFERROR(VLOOKUP(A90,PRODUTOS!A:B,2,FALSE),""))</f>
        <v/>
      </c>
      <c r="C90" s="5" t="str">
        <f>IF(A90="","",IFERROR(VLOOKUP(A90,PRODUTOS!A:C,3,FALSE),""))</f>
        <v/>
      </c>
      <c r="D90" s="5"/>
      <c r="E90" s="5"/>
      <c r="F90" s="5"/>
      <c r="G90" s="5"/>
      <c r="H90" s="5"/>
      <c r="I90" s="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 t="str">
        <f>IFERROR(FILTRO(PRODUTOS!A91:A1000,PRODUTOS!A91:A1000&lt;&gt;""),"")</f>
        <v/>
      </c>
      <c r="B91" s="5" t="str">
        <f>IF(A91="","",IFERROR(VLOOKUP(A91,PRODUTOS!A:B,2,FALSE),""))</f>
        <v/>
      </c>
      <c r="C91" s="5" t="str">
        <f>IF(A91="","",IFERROR(VLOOKUP(A91,PRODUTOS!A:C,3,FALSE),""))</f>
        <v/>
      </c>
      <c r="D91" s="5"/>
      <c r="E91" s="5"/>
      <c r="F91" s="5"/>
      <c r="G91" s="5"/>
      <c r="H91" s="5"/>
      <c r="I91" s="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 t="str">
        <f>IFERROR(FILTRO(PRODUTOS!A92:A1000,PRODUTOS!A92:A1000&lt;&gt;""),"")</f>
        <v/>
      </c>
      <c r="B92" s="5" t="str">
        <f>IF(A92="","",IFERROR(VLOOKUP(A92,PRODUTOS!A:B,2,FALSE),""))</f>
        <v/>
      </c>
      <c r="C92" s="5" t="str">
        <f>IF(A92="","",IFERROR(VLOOKUP(A92,PRODUTOS!A:C,3,FALSE),""))</f>
        <v/>
      </c>
      <c r="D92" s="5"/>
      <c r="E92" s="5"/>
      <c r="F92" s="5"/>
      <c r="G92" s="5"/>
      <c r="H92" s="5"/>
      <c r="I92" s="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 t="str">
        <f>IFERROR(FILTRO(PRODUTOS!A93:A1000,PRODUTOS!A93:A1000&lt;&gt;""),"")</f>
        <v/>
      </c>
      <c r="B93" s="5" t="str">
        <f>IF(A93="","",IFERROR(VLOOKUP(A93,PRODUTOS!A:B,2,FALSE),""))</f>
        <v/>
      </c>
      <c r="C93" s="5" t="str">
        <f>IF(A93="","",IFERROR(VLOOKUP(A93,PRODUTOS!A:C,3,FALSE),""))</f>
        <v/>
      </c>
      <c r="D93" s="5"/>
      <c r="E93" s="5"/>
      <c r="F93" s="5"/>
      <c r="G93" s="5"/>
      <c r="H93" s="5"/>
      <c r="I93" s="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 t="str">
        <f>IFERROR(FILTRO(PRODUTOS!A94:A1000,PRODUTOS!A94:A1000&lt;&gt;""),"")</f>
        <v/>
      </c>
      <c r="B94" s="5" t="str">
        <f>IF(A94="","",IFERROR(VLOOKUP(A94,PRODUTOS!A:B,2,FALSE),""))</f>
        <v/>
      </c>
      <c r="C94" s="5" t="str">
        <f>IF(A94="","",IFERROR(VLOOKUP(A94,PRODUTOS!A:C,3,FALSE),""))</f>
        <v/>
      </c>
      <c r="D94" s="5"/>
      <c r="E94" s="5"/>
      <c r="F94" s="5"/>
      <c r="G94" s="5"/>
      <c r="H94" s="5"/>
      <c r="I94" s="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 t="str">
        <f>IFERROR(FILTRO(PRODUTOS!A95:A1000,PRODUTOS!A95:A1000&lt;&gt;""),"")</f>
        <v/>
      </c>
      <c r="B95" s="5" t="str">
        <f>IF(A95="","",IFERROR(VLOOKUP(A95,PRODUTOS!A:B,2,FALSE),""))</f>
        <v/>
      </c>
      <c r="C95" s="5" t="str">
        <f>IF(A95="","",IFERROR(VLOOKUP(A95,PRODUTOS!A:C,3,FALSE),""))</f>
        <v/>
      </c>
      <c r="D95" s="5"/>
      <c r="E95" s="5"/>
      <c r="F95" s="5"/>
      <c r="G95" s="5"/>
      <c r="H95" s="5"/>
      <c r="I95" s="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 t="str">
        <f>IFERROR(FILTRO(PRODUTOS!A96:A1000,PRODUTOS!A96:A1000&lt;&gt;""),"")</f>
        <v/>
      </c>
      <c r="B96" s="5" t="str">
        <f>IF(A96="","",IFERROR(VLOOKUP(A96,PRODUTOS!A:B,2,FALSE),""))</f>
        <v/>
      </c>
      <c r="C96" s="5" t="str">
        <f>IF(A96="","",IFERROR(VLOOKUP(A96,PRODUTOS!A:C,3,FALSE),""))</f>
        <v/>
      </c>
      <c r="D96" s="5"/>
      <c r="E96" s="5"/>
      <c r="F96" s="5"/>
      <c r="G96" s="5"/>
      <c r="H96" s="5"/>
      <c r="I96" s="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 t="str">
        <f>IFERROR(FILTRO(PRODUTOS!A97:A1000,PRODUTOS!A97:A1000&lt;&gt;""),"")</f>
        <v/>
      </c>
      <c r="B97" s="5" t="str">
        <f>IF(A97="","",IFERROR(VLOOKUP(A97,PRODUTOS!A:B,2,FALSE),""))</f>
        <v/>
      </c>
      <c r="C97" s="5" t="str">
        <f>IF(A97="","",IFERROR(VLOOKUP(A97,PRODUTOS!A:C,3,FALSE),""))</f>
        <v/>
      </c>
      <c r="D97" s="5"/>
      <c r="E97" s="5"/>
      <c r="F97" s="5"/>
      <c r="G97" s="5"/>
      <c r="H97" s="5"/>
      <c r="I97" s="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 t="str">
        <f>IFERROR(FILTRO(PRODUTOS!A98:A1000,PRODUTOS!A98:A1000&lt;&gt;""),"")</f>
        <v/>
      </c>
      <c r="B98" s="5" t="str">
        <f>IF(A98="","",IFERROR(VLOOKUP(A98,PRODUTOS!A:B,2,FALSE),""))</f>
        <v/>
      </c>
      <c r="C98" s="5" t="str">
        <f>IF(A98="","",IFERROR(VLOOKUP(A98,PRODUTOS!A:C,3,FALSE),""))</f>
        <v/>
      </c>
      <c r="D98" s="5"/>
      <c r="E98" s="5"/>
      <c r="F98" s="5"/>
      <c r="G98" s="5"/>
      <c r="H98" s="5"/>
      <c r="I98" s="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 t="str">
        <f>IFERROR(FILTRO(PRODUTOS!A99:A1000,PRODUTOS!A99:A1000&lt;&gt;""),"")</f>
        <v/>
      </c>
      <c r="B99" s="5" t="str">
        <f>IF(A99="","",IFERROR(VLOOKUP(A99,PRODUTOS!A:B,2,FALSE),""))</f>
        <v/>
      </c>
      <c r="C99" s="5" t="str">
        <f>IF(A99="","",IFERROR(VLOOKUP(A99,PRODUTOS!A:C,3,FALSE),""))</f>
        <v/>
      </c>
      <c r="D99" s="5"/>
      <c r="E99" s="5"/>
      <c r="F99" s="5"/>
      <c r="G99" s="5"/>
      <c r="H99" s="5"/>
      <c r="I99" s="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 t="str">
        <f>IFERROR(FILTRO(PRODUTOS!A100:A1000,PRODUTOS!A100:A1000&lt;&gt;""),"")</f>
        <v/>
      </c>
      <c r="B100" s="5" t="str">
        <f>IF(A100="","",IFERROR(VLOOKUP(A100,PRODUTOS!A:B,2,FALSE),""))</f>
        <v/>
      </c>
      <c r="C100" s="5" t="str">
        <f>IF(A100="","",IFERROR(VLOOKUP(A100,PRODUTOS!A:C,3,FALSE),""))</f>
        <v/>
      </c>
      <c r="D100" s="5"/>
      <c r="E100" s="5"/>
      <c r="F100" s="5"/>
      <c r="G100" s="5"/>
      <c r="H100" s="5"/>
      <c r="I100" s="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 t="str">
        <f>IFERROR(FILTRO(PRODUTOS!A101:A1000,PRODUTOS!A101:A1000&lt;&gt;""),"")</f>
        <v/>
      </c>
      <c r="B101" s="5" t="str">
        <f>IF(A101="","",IFERROR(VLOOKUP(A101,PRODUTOS!A:B,2,FALSE),""))</f>
        <v/>
      </c>
      <c r="C101" s="5" t="str">
        <f>IF(A101="","",IFERROR(VLOOKUP(A101,PRODUTOS!A:C,3,FALSE),""))</f>
        <v/>
      </c>
      <c r="D101" s="5"/>
      <c r="E101" s="5"/>
      <c r="F101" s="5"/>
      <c r="G101" s="5"/>
      <c r="H101" s="5"/>
      <c r="I101" s="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 t="str">
        <f>IFERROR(FILTRO(PRODUTOS!A102:A1000,PRODUTOS!A102:A1000&lt;&gt;""),"")</f>
        <v/>
      </c>
      <c r="B102" s="5" t="str">
        <f>IF(A102="","",IFERROR(VLOOKUP(A102,PRODUTOS!A:B,2,FALSE),""))</f>
        <v/>
      </c>
      <c r="C102" s="5" t="str">
        <f>IF(A102="","",IFERROR(VLOOKUP(A102,PRODUTOS!A:C,3,FALSE),""))</f>
        <v/>
      </c>
      <c r="D102" s="5"/>
      <c r="E102" s="5"/>
      <c r="F102" s="5"/>
      <c r="G102" s="5"/>
      <c r="H102" s="5"/>
      <c r="I102" s="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 t="str">
        <f>IFERROR(FILTRO(PRODUTOS!A103:A1000,PRODUTOS!A103:A1000&lt;&gt;""),"")</f>
        <v/>
      </c>
      <c r="B103" s="5" t="str">
        <f>IF(A103="","",IFERROR(VLOOKUP(A103,PRODUTOS!A:B,2,FALSE),""))</f>
        <v/>
      </c>
      <c r="C103" s="5" t="str">
        <f>IF(A103="","",IFERROR(VLOOKUP(A103,PRODUTOS!A:C,3,FALSE),""))</f>
        <v/>
      </c>
      <c r="D103" s="5"/>
      <c r="E103" s="5"/>
      <c r="F103" s="5"/>
      <c r="G103" s="5"/>
      <c r="H103" s="5"/>
      <c r="I103" s="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 t="str">
        <f>IFERROR(FILTRO(PRODUTOS!A104:A1000,PRODUTOS!A104:A1000&lt;&gt;""),"")</f>
        <v/>
      </c>
      <c r="B104" s="5" t="str">
        <f>IF(A104="","",IFERROR(VLOOKUP(A104,PRODUTOS!A:B,2,FALSE),""))</f>
        <v/>
      </c>
      <c r="C104" s="5" t="str">
        <f>IF(A104="","",IFERROR(VLOOKUP(A104,PRODUTOS!A:C,3,FALSE),""))</f>
        <v/>
      </c>
      <c r="D104" s="5"/>
      <c r="E104" s="5"/>
      <c r="F104" s="5"/>
      <c r="G104" s="5"/>
      <c r="H104" s="5"/>
      <c r="I104" s="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 t="str">
        <f>IFERROR(FILTRO(PRODUTOS!A105:A1000,PRODUTOS!A105:A1000&lt;&gt;""),"")</f>
        <v/>
      </c>
      <c r="B105" s="5" t="str">
        <f>IF(A105="","",IFERROR(VLOOKUP(A105,PRODUTOS!A:B,2,FALSE),""))</f>
        <v/>
      </c>
      <c r="C105" s="5" t="str">
        <f>IF(A105="","",IFERROR(VLOOKUP(A105,PRODUTOS!A:C,3,FALSE),""))</f>
        <v/>
      </c>
      <c r="D105" s="5"/>
      <c r="E105" s="5"/>
      <c r="F105" s="5"/>
      <c r="G105" s="5"/>
      <c r="H105" s="5"/>
      <c r="I105" s="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 t="str">
        <f>IFERROR(FILTRO(PRODUTOS!A106:A1000,PRODUTOS!A106:A1000&lt;&gt;""),"")</f>
        <v/>
      </c>
      <c r="B106" s="5" t="str">
        <f>IF(A106="","",IFERROR(VLOOKUP(A106,PRODUTOS!A:B,2,FALSE),""))</f>
        <v/>
      </c>
      <c r="C106" s="5"/>
      <c r="D106" s="5"/>
      <c r="E106" s="5"/>
      <c r="F106" s="5"/>
      <c r="G106" s="5"/>
      <c r="H106" s="5"/>
      <c r="I106" s="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 t="str">
        <f>IFERROR(FILTRO(PRODUTOS!A107:A1000,PRODUTOS!A107:A1000&lt;&gt;""),"")</f>
        <v/>
      </c>
      <c r="B107" s="5" t="str">
        <f>IF(A107="","",IFERROR(VLOOKUP(A107,PRODUTOS!A:B,2,FALSE),""))</f>
        <v/>
      </c>
      <c r="C107" s="5"/>
      <c r="D107" s="5"/>
      <c r="E107" s="5"/>
      <c r="F107" s="5"/>
      <c r="G107" s="5"/>
      <c r="H107" s="5"/>
      <c r="I107" s="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 t="str">
        <f>IFERROR(FILTRO(PRODUTOS!A108:A1000,PRODUTOS!A108:A1000&lt;&gt;""),"")</f>
        <v/>
      </c>
      <c r="B108" s="5" t="str">
        <f>IF(A108="","",IFERROR(VLOOKUP(A108,PRODUTOS!A:B,2,FALSE),""))</f>
        <v/>
      </c>
      <c r="C108" s="5"/>
      <c r="D108" s="5"/>
      <c r="E108" s="5"/>
      <c r="F108" s="5"/>
      <c r="G108" s="5"/>
      <c r="H108" s="5"/>
      <c r="I108" s="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 t="str">
        <f>IFERROR(FILTRO(PRODUTOS!A109:A1000,PRODUTOS!A109:A1000&lt;&gt;""),"")</f>
        <v/>
      </c>
      <c r="B109" s="5" t="str">
        <f>IF(A109="","",IFERROR(VLOOKUP(A109,PRODUTOS!A:B,2,FALSE),""))</f>
        <v/>
      </c>
      <c r="C109" s="5"/>
      <c r="D109" s="5"/>
      <c r="E109" s="5"/>
      <c r="F109" s="5"/>
      <c r="G109" s="5"/>
      <c r="H109" s="5"/>
      <c r="I109" s="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 t="str">
        <f>IFERROR(FILTRO(PRODUTOS!A110:A1000,PRODUTOS!A110:A1000&lt;&gt;""),"")</f>
        <v/>
      </c>
      <c r="B110" s="5" t="str">
        <f>IF(A110="","",IFERROR(VLOOKUP(A110,PRODUTOS!A:B,2,FALSE),""))</f>
        <v/>
      </c>
      <c r="C110" s="5"/>
      <c r="D110" s="5"/>
      <c r="E110" s="5"/>
      <c r="F110" s="5"/>
      <c r="G110" s="5"/>
      <c r="H110" s="5"/>
      <c r="I110" s="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 t="str">
        <f>IFERROR(FILTRO(PRODUTOS!A111:A1000,PRODUTOS!A111:A1000&lt;&gt;""),"")</f>
        <v/>
      </c>
      <c r="B111" s="5" t="str">
        <f>IF(A111="","",IFERROR(VLOOKUP(A111,PRODUTOS!A:B,2,FALSE),""))</f>
        <v/>
      </c>
      <c r="C111" s="5"/>
      <c r="D111" s="5"/>
      <c r="E111" s="5"/>
      <c r="F111" s="5"/>
      <c r="G111" s="5"/>
      <c r="H111" s="5"/>
      <c r="I111" s="2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 t="str">
        <f>IFERROR(FILTRO(PRODUTOS!A112:A1000,PRODUTOS!A112:A1000&lt;&gt;""),"")</f>
        <v/>
      </c>
      <c r="B112" s="5" t="str">
        <f>IF(A112="","",IFERROR(VLOOKUP(A112,PRODUTOS!A:B,2,FALSE),""))</f>
        <v/>
      </c>
      <c r="C112" s="5"/>
      <c r="D112" s="5"/>
      <c r="E112" s="5"/>
      <c r="F112" s="5"/>
      <c r="G112" s="5"/>
      <c r="H112" s="5"/>
      <c r="I112" s="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 t="str">
        <f>IFERROR(FILTRO(PRODUTOS!A113:A1000,PRODUTOS!A113:A1000&lt;&gt;""),"")</f>
        <v/>
      </c>
      <c r="B113" s="5" t="str">
        <f>IF(A113="","",IFERROR(VLOOKUP(A113,PRODUTOS!A:B,2,FALSE),""))</f>
        <v/>
      </c>
      <c r="C113" s="5"/>
      <c r="D113" s="5"/>
      <c r="E113" s="5"/>
      <c r="F113" s="5"/>
      <c r="G113" s="5"/>
      <c r="H113" s="5"/>
      <c r="I113" s="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 t="str">
        <f>IFERROR(FILTRO(PRODUTOS!A114:A1000,PRODUTOS!A114:A1000&lt;&gt;""),"")</f>
        <v/>
      </c>
      <c r="B114" s="5" t="str">
        <f>IF(A114="","",IFERROR(VLOOKUP(A114,PRODUTOS!A:B,2,FALSE),""))</f>
        <v/>
      </c>
      <c r="C114" s="5"/>
      <c r="D114" s="5"/>
      <c r="E114" s="5"/>
      <c r="F114" s="5"/>
      <c r="G114" s="5"/>
      <c r="H114" s="5"/>
      <c r="I114" s="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 t="str">
        <f>IFERROR(FILTRO(PRODUTOS!A115:A1000,PRODUTOS!A115:A1000&lt;&gt;""),"")</f>
        <v/>
      </c>
      <c r="B115" s="5" t="str">
        <f>IF(A115="","",IFERROR(VLOOKUP(A115,PRODUTOS!A:B,2,FALSE),""))</f>
        <v/>
      </c>
      <c r="C115" s="5"/>
      <c r="D115" s="5"/>
      <c r="E115" s="5"/>
      <c r="F115" s="5"/>
      <c r="G115" s="5"/>
      <c r="H115" s="5"/>
      <c r="I115" s="2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 t="str">
        <f>IFERROR(FILTRO(PRODUTOS!A116:A1000,PRODUTOS!A116:A1000&lt;&gt;""),"")</f>
        <v/>
      </c>
      <c r="B116" s="5" t="str">
        <f>IF(A116="","",IFERROR(VLOOKUP(A116,PRODUTOS!A:B,2,FALSE),""))</f>
        <v/>
      </c>
      <c r="C116" s="5"/>
      <c r="D116" s="5"/>
      <c r="E116" s="5"/>
      <c r="F116" s="5"/>
      <c r="G116" s="5"/>
      <c r="H116" s="5"/>
      <c r="I116" s="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 t="str">
        <f>IFERROR(FILTRO(PRODUTOS!A117:A1000,PRODUTOS!A117:A1000&lt;&gt;""),"")</f>
        <v/>
      </c>
      <c r="B117" s="5" t="str">
        <f>IF(A117="","",IFERROR(VLOOKUP(A117,PRODUTOS!A:B,2,FALSE),""))</f>
        <v/>
      </c>
      <c r="C117" s="5"/>
      <c r="D117" s="5"/>
      <c r="E117" s="5"/>
      <c r="F117" s="5"/>
      <c r="G117" s="5"/>
      <c r="H117" s="5"/>
      <c r="I117" s="2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 t="str">
        <f>IFERROR(FILTRO(PRODUTOS!A118:A1000,PRODUTOS!A118:A1000&lt;&gt;""),"")</f>
        <v/>
      </c>
      <c r="B118" s="5" t="str">
        <f>IF(A118="","",IFERROR(VLOOKUP(A118,PRODUTOS!A:B,2,FALSE),""))</f>
        <v/>
      </c>
      <c r="C118" s="5"/>
      <c r="D118" s="5"/>
      <c r="E118" s="5"/>
      <c r="F118" s="5"/>
      <c r="G118" s="5"/>
      <c r="H118" s="5"/>
      <c r="I118" s="2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 t="str">
        <f>IFERROR(FILTRO(PRODUTOS!A119:A1000,PRODUTOS!A119:A1000&lt;&gt;""),"")</f>
        <v/>
      </c>
      <c r="B119" s="5" t="str">
        <f>IF(A119="","",IFERROR(VLOOKUP(A119,PRODUTOS!A:B,2,FALSE),""))</f>
        <v/>
      </c>
      <c r="C119" s="5"/>
      <c r="D119" s="5"/>
      <c r="E119" s="5"/>
      <c r="F119" s="5"/>
      <c r="G119" s="5"/>
      <c r="H119" s="5"/>
      <c r="I119" s="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 t="str">
        <f>IFERROR(FILTRO(PRODUTOS!A120:A1000,PRODUTOS!A120:A1000&lt;&gt;""),"")</f>
        <v/>
      </c>
      <c r="B120" s="5"/>
      <c r="C120" s="5"/>
      <c r="D120" s="5"/>
      <c r="E120" s="5"/>
      <c r="F120" s="5"/>
      <c r="G120" s="5"/>
      <c r="H120" s="5"/>
      <c r="I120" s="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 t="str">
        <f>IFERROR(FILTRO(PRODUTOS!A121:A1000,PRODUTOS!A121:A1000&lt;&gt;""),"")</f>
        <v/>
      </c>
      <c r="B121" s="5"/>
      <c r="C121" s="5"/>
      <c r="D121" s="5"/>
      <c r="E121" s="5"/>
      <c r="F121" s="5"/>
      <c r="G121" s="5"/>
      <c r="H121" s="5"/>
      <c r="I121" s="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 t="str">
        <f>IFERROR(FILTRO(PRODUTOS!A122:A1000,PRODUTOS!A122:A1000&lt;&gt;""),"")</f>
        <v/>
      </c>
      <c r="B122" s="5"/>
      <c r="C122" s="5"/>
      <c r="D122" s="5"/>
      <c r="E122" s="5"/>
      <c r="F122" s="5"/>
      <c r="G122" s="5"/>
      <c r="H122" s="5"/>
      <c r="I122" s="2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 t="str">
        <f>IFERROR(FILTRO(PRODUTOS!A123:A1000,PRODUTOS!A123:A1000&lt;&gt;""),"")</f>
        <v/>
      </c>
      <c r="B123" s="5"/>
      <c r="C123" s="5"/>
      <c r="D123" s="5"/>
      <c r="E123" s="5"/>
      <c r="F123" s="5"/>
      <c r="G123" s="5"/>
      <c r="H123" s="5"/>
      <c r="I123" s="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 t="str">
        <f>IFERROR(FILTRO(PRODUTOS!A124:A1000,PRODUTOS!A124:A1000&lt;&gt;""),"")</f>
        <v/>
      </c>
      <c r="B124" s="5"/>
      <c r="C124" s="5"/>
      <c r="D124" s="5"/>
      <c r="E124" s="5"/>
      <c r="F124" s="5"/>
      <c r="G124" s="5"/>
      <c r="H124" s="5"/>
      <c r="I124" s="2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 t="str">
        <f>IFERROR(FILTRO(PRODUTOS!A125:A1000,PRODUTOS!A125:A1000&lt;&gt;""),"")</f>
        <v/>
      </c>
      <c r="B125" s="5"/>
      <c r="C125" s="5"/>
      <c r="D125" s="5"/>
      <c r="E125" s="5"/>
      <c r="F125" s="5"/>
      <c r="G125" s="5"/>
      <c r="H125" s="5"/>
      <c r="I125" s="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 t="str">
        <f>IFERROR(FILTRO(PRODUTOS!A126:A1000,PRODUTOS!A126:A1000&lt;&gt;""),"")</f>
        <v/>
      </c>
      <c r="B126" s="5"/>
      <c r="C126" s="5"/>
      <c r="D126" s="5"/>
      <c r="E126" s="5"/>
      <c r="F126" s="5"/>
      <c r="G126" s="5"/>
      <c r="H126" s="5"/>
      <c r="I126" s="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 t="str">
        <f>IFERROR(FILTRO(PRODUTOS!A127:A1000,PRODUTOS!A127:A1000&lt;&gt;""),"")</f>
        <v/>
      </c>
      <c r="B127" s="5"/>
      <c r="C127" s="5"/>
      <c r="D127" s="5"/>
      <c r="E127" s="5"/>
      <c r="F127" s="5"/>
      <c r="G127" s="5"/>
      <c r="H127" s="5"/>
      <c r="I127" s="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 t="str">
        <f>IFERROR(FILTRO(PRODUTOS!A128:A1000,PRODUTOS!A128:A1000&lt;&gt;""),"")</f>
        <v/>
      </c>
      <c r="B128" s="5"/>
      <c r="C128" s="5"/>
      <c r="D128" s="5"/>
      <c r="E128" s="5"/>
      <c r="F128" s="5"/>
      <c r="G128" s="5"/>
      <c r="H128" s="5"/>
      <c r="I128" s="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 t="str">
        <f>IFERROR(FILTRO(PRODUTOS!A129:A1000,PRODUTOS!A129:A1000&lt;&gt;""),"")</f>
        <v/>
      </c>
      <c r="B129" s="5"/>
      <c r="C129" s="5"/>
      <c r="D129" s="5"/>
      <c r="E129" s="5"/>
      <c r="F129" s="5"/>
      <c r="G129" s="5"/>
      <c r="H129" s="5"/>
      <c r="I129" s="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 t="str">
        <f>IFERROR(FILTRO(PRODUTOS!A130:A1000,PRODUTOS!A130:A1000&lt;&gt;""),"")</f>
        <v/>
      </c>
      <c r="B130" s="5"/>
      <c r="C130" s="5"/>
      <c r="D130" s="5"/>
      <c r="E130" s="5"/>
      <c r="F130" s="5"/>
      <c r="G130" s="5"/>
      <c r="H130" s="5"/>
      <c r="I130" s="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 t="str">
        <f>IFERROR(FILTRO(PRODUTOS!A131:A1000,PRODUTOS!A131:A1000&lt;&gt;""),"")</f>
        <v/>
      </c>
      <c r="B131" s="5"/>
      <c r="C131" s="5"/>
      <c r="D131" s="5"/>
      <c r="E131" s="5"/>
      <c r="F131" s="5"/>
      <c r="G131" s="5"/>
      <c r="H131" s="5"/>
      <c r="I131" s="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 t="str">
        <f>IFERROR(FILTRO(PRODUTOS!A132:A1000,PRODUTOS!A132:A1000&lt;&gt;""),"")</f>
        <v/>
      </c>
      <c r="B132" s="5"/>
      <c r="C132" s="5"/>
      <c r="D132" s="5"/>
      <c r="E132" s="5"/>
      <c r="F132" s="5"/>
      <c r="G132" s="5"/>
      <c r="H132" s="5"/>
      <c r="I132" s="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 t="str">
        <f>IFERROR(FILTRO(PRODUTOS!A133:A1000,PRODUTOS!A133:A1000&lt;&gt;""),"")</f>
        <v/>
      </c>
      <c r="B133" s="5"/>
      <c r="C133" s="5"/>
      <c r="D133" s="5"/>
      <c r="E133" s="5"/>
      <c r="F133" s="5"/>
      <c r="G133" s="5"/>
      <c r="H133" s="5"/>
      <c r="I133" s="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 t="str">
        <f>IFERROR(FILTRO(PRODUTOS!A134:A1000,PRODUTOS!A134:A1000&lt;&gt;""),"")</f>
        <v/>
      </c>
      <c r="B134" s="5"/>
      <c r="C134" s="5"/>
      <c r="D134" s="5"/>
      <c r="E134" s="5"/>
      <c r="F134" s="5"/>
      <c r="G134" s="5"/>
      <c r="H134" s="5"/>
      <c r="I134" s="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 t="str">
        <f>IFERROR(FILTRO(PRODUTOS!A135:A1000,PRODUTOS!A135:A1000&lt;&gt;""),"")</f>
        <v/>
      </c>
      <c r="B135" s="5"/>
      <c r="C135" s="5"/>
      <c r="D135" s="5"/>
      <c r="E135" s="5"/>
      <c r="F135" s="5"/>
      <c r="G135" s="5"/>
      <c r="H135" s="5"/>
      <c r="I135" s="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 t="str">
        <f>IFERROR(FILTRO(PRODUTOS!A136:A1000,PRODUTOS!A136:A1000&lt;&gt;""),"")</f>
        <v/>
      </c>
      <c r="B136" s="5"/>
      <c r="C136" s="5"/>
      <c r="D136" s="5"/>
      <c r="E136" s="5"/>
      <c r="F136" s="5"/>
      <c r="G136" s="5"/>
      <c r="H136" s="5"/>
      <c r="I136" s="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 t="str">
        <f>IFERROR(FILTRO(PRODUTOS!A137:A1000,PRODUTOS!A137:A1000&lt;&gt;""),"")</f>
        <v/>
      </c>
      <c r="B137" s="5"/>
      <c r="C137" s="5"/>
      <c r="D137" s="5"/>
      <c r="E137" s="5"/>
      <c r="F137" s="5"/>
      <c r="G137" s="5"/>
      <c r="H137" s="5"/>
      <c r="I137" s="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2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2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2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2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2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2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2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2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2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2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2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2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2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2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2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2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2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2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2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2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2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2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2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2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2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2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2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2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2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2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2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2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2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2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2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2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2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2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2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2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2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2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2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2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2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2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2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2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2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2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2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2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2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2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2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2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2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2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2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2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2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2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2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2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2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2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2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2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2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2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2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2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2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2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2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2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2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2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2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2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2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2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2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2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2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2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2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2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2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2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2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2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2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2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2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2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2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2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2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2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2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2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2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2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2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2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2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2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2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2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2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2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2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2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2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2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2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2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2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2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2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2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2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2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2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2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2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2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2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2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2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2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2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2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2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2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2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2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2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2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2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2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2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2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2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2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2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2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2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2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2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2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2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2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2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2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2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2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2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2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2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2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2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2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2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2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2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2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2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2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2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2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2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2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2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2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2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2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2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2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2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2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2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2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2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2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2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2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2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2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2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2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2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2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2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2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2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2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2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2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2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2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2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2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2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2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2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2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2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2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2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2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2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2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2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2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2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2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2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2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2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2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2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2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2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2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2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2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2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2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2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2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2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2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2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2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2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2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2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2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2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2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2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2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2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2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2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2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2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2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2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2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2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2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2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2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2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2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2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2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2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2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2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2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2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2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2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2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2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2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2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2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2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2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2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2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2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2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2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2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2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2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2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2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2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2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2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2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2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2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2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2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2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2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2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2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2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2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2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2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2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2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2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2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2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2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2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2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2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2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2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2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2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2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2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2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2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2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2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2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2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2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2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2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2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2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2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2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2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2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2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2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2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2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2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2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2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2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2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2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2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2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2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2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2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2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2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2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2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2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2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2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2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2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2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2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2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2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2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2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2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2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2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2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2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2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2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2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2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2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2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2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2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2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2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2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2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2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2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2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2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2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2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2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2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2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2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2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2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2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2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2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2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2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2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2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2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2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2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2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2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2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2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2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2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2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2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2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2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2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2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2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2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2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2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2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2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2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2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2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2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2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2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2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2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2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2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2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2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2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2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2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2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2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2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2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2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2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2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2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conditionalFormatting sqref="I1:I1000">
    <cfRule type="cellIs" dxfId="0" priority="1" operator="equal">
      <formula>"OK"</formula>
    </cfRule>
  </conditionalFormatting>
  <conditionalFormatting sqref="I1:I1000">
    <cfRule type="cellIs" dxfId="1" priority="2" operator="equal">
      <formula>"REPOR ESTOQUE"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20.75"/>
    <col customWidth="1" min="3" max="3" width="19.88"/>
    <col customWidth="1" min="4" max="4" width="19.5"/>
  </cols>
  <sheetData>
    <row r="1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8" t="s">
        <v>39</v>
      </c>
      <c r="B3" s="8" t="s">
        <v>40</v>
      </c>
      <c r="C3" s="8" t="s">
        <v>41</v>
      </c>
      <c r="D3" s="8" t="s">
        <v>42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9">
        <f>COUNTA(PRODUTOS!A2:A1000)</f>
        <v>3</v>
      </c>
      <c r="B4" s="9">
        <f>SUM(ESTOQUE!G2:G1000)</f>
        <v>32</v>
      </c>
      <c r="C4" s="9">
        <f>COUNTIF(ESTOQUE!I2:I1000,"REPOR ESTOQUE")</f>
        <v>1</v>
      </c>
      <c r="D4" s="9">
        <f>SUM(ESTOQUE!F2:F1000)</f>
        <v>50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</sheetData>
  <drawing r:id="rId1"/>
</worksheet>
</file>